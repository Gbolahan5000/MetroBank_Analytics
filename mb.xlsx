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202300"/>
  <mc:AlternateContent xmlns:mc="http://schemas.openxmlformats.org/markup-compatibility/2006">
    <mc:Choice Requires="x15">
      <x15ac:absPath xmlns:x15ac="http://schemas.microsoft.com/office/spreadsheetml/2010/11/ac" url="C:\Users\HP PRO BOOK 430 G6\OneDrive\Desktop\mb\"/>
    </mc:Choice>
  </mc:AlternateContent>
  <xr:revisionPtr revIDLastSave="0" documentId="13_ncr:1_{99E33DB1-9FDF-4F7E-A94B-51A9CC66BE77}" xr6:coauthVersionLast="47" xr6:coauthVersionMax="47" xr10:uidLastSave="{00000000-0000-0000-0000-000000000000}"/>
  <bookViews>
    <workbookView xWindow="-110" yWindow="-110" windowWidth="19420" windowHeight="10300" activeTab="2" xr2:uid="{325BF795-AD4D-496C-BEEF-D4543768643C}"/>
  </bookViews>
  <sheets>
    <sheet name="Customers" sheetId="2" r:id="rId1"/>
    <sheet name="Calculation" sheetId="4" r:id="rId2"/>
    <sheet name="Dashboard" sheetId="6" r:id="rId3"/>
    <sheet name="Report" sheetId="5" r:id="rId4"/>
    <sheet name="Measures" sheetId="3" state="hidden" r:id="rId5"/>
  </sheets>
  <definedNames>
    <definedName name="_xlcn.WorksheetConnection_Book1customers1" hidden="1">customers[]</definedName>
    <definedName name="_xlcn.WorksheetConnection_Book1Measures1" hidden="1">Measures[]</definedName>
    <definedName name="ExternalData_1" localSheetId="0" hidden="1">'Customers'!$A$1:$M$501</definedName>
    <definedName name="ExternalData_2" localSheetId="4" hidden="1">Measures!$A$1:$A$2</definedName>
  </definedNames>
  <calcPr calcId="191029"/>
  <pivotCaches>
    <pivotCache cacheId="0" r:id="rId6"/>
    <pivotCache cacheId="1" r:id="rId7"/>
    <pivotCache cacheId="2" r:id="rId8"/>
    <pivotCache cacheId="3" r:id="rId9"/>
    <pivotCache cacheId="4" r:id="rId10"/>
    <pivotCache cacheId="5" r:id="rId11"/>
    <pivotCache cacheId="6" r:id="rId12"/>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Book1!customers"/>
          <x15:modelTable id="A" name="A" connection="WorksheetConnection_Book1!Measur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4" l="1" a="1"/>
  <c r="F20" i="4" s="1"/>
  <c r="E20" i="4" a="1"/>
  <c r="E20"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B2F812-6A6E-40BB-A7F9-E9A848915045}"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A50A3D58-DD88-4F32-8F6B-CAD0FDBD69A1}" keepAlive="1" name="Query - Measures" description="Connection to the 'Measures' query in the workbook." type="5" refreshedVersion="8" background="1" saveData="1">
    <dbPr connection="Provider=Microsoft.Mashup.OleDb.1;Data Source=$Workbook$;Location=Measures;Extended Properties=&quot;&quot;" command="SELECT * FROM [Measures]"/>
  </connection>
  <connection id="3" xr16:uid="{F0B5CD4B-0781-4384-A262-C9EE68490BA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FC0BB36B-751B-44DB-B1E9-6E0ADE23C93B}" name="WorksheetConnection_Book1!customers" type="102" refreshedVersion="8" minRefreshableVersion="5">
    <extLst>
      <ext xmlns:x15="http://schemas.microsoft.com/office/spreadsheetml/2010/11/main" uri="{DE250136-89BD-433C-8126-D09CA5730AF9}">
        <x15:connection id="customers" autoDelete="1">
          <x15:rangePr sourceName="_xlcn.WorksheetConnection_Book1customers1"/>
        </x15:connection>
      </ext>
    </extLst>
  </connection>
  <connection id="5" xr16:uid="{7A257851-3973-400D-BFF1-DB65D731AD81}" name="WorksheetConnection_Book1!Measures" type="102" refreshedVersion="8" minRefreshableVersion="5">
    <extLst>
      <ext xmlns:x15="http://schemas.microsoft.com/office/spreadsheetml/2010/11/main" uri="{DE250136-89BD-433C-8126-D09CA5730AF9}">
        <x15:connection id="A">
          <x15:rangePr sourceName="_xlcn.WorksheetConnection_Book1Measur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<sst xmlns="http://schemas.openxmlformats.org/spreadsheetml/2006/main" count="4568" uniqueCount="1050">
  <si>
    <t>CustomerID</t>
  </si>
  <si>
    <t>Name</t>
  </si>
  <si>
    <t>Gender</t>
  </si>
  <si>
    <t>Age</t>
  </si>
  <si>
    <t>Region</t>
  </si>
  <si>
    <t>Occupation</t>
  </si>
  <si>
    <t>Income</t>
  </si>
  <si>
    <t>Customer_Segment</t>
  </si>
  <si>
    <t>Join_Date</t>
  </si>
  <si>
    <t>Age_Group</t>
  </si>
  <si>
    <t>Income_Bracket</t>
  </si>
  <si>
    <t>Tenure (Years)</t>
  </si>
  <si>
    <t>CUST0001</t>
  </si>
  <si>
    <t>Mrs. Deborah Dominguez MD</t>
  </si>
  <si>
    <t>Male</t>
  </si>
  <si>
    <t>North</t>
  </si>
  <si>
    <t>Doctor</t>
  </si>
  <si>
    <t>Retail</t>
  </si>
  <si>
    <t>Millennials</t>
  </si>
  <si>
    <t>Premium</t>
  </si>
  <si>
    <t>CUST0002</t>
  </si>
  <si>
    <t>Erin Martinez</t>
  </si>
  <si>
    <t>Female</t>
  </si>
  <si>
    <t>East</t>
  </si>
  <si>
    <t>Trader</t>
  </si>
  <si>
    <t>Corporate</t>
  </si>
  <si>
    <t>Gen X</t>
  </si>
  <si>
    <t>CUST0003</t>
  </si>
  <si>
    <t>Amanda Harris</t>
  </si>
  <si>
    <t>Teacher</t>
  </si>
  <si>
    <t>Private</t>
  </si>
  <si>
    <t>CUST0004</t>
  </si>
  <si>
    <t>Candice Palmer</t>
  </si>
  <si>
    <t>Banker</t>
  </si>
  <si>
    <t>High</t>
  </si>
  <si>
    <t>CUST0005</t>
  </si>
  <si>
    <t>Sandra Davis</t>
  </si>
  <si>
    <t>West</t>
  </si>
  <si>
    <t>Student</t>
  </si>
  <si>
    <t>Gen Z</t>
  </si>
  <si>
    <t>Medium</t>
  </si>
  <si>
    <t>CUST0006</t>
  </si>
  <si>
    <t>Vanessa Peterson</t>
  </si>
  <si>
    <t>South</t>
  </si>
  <si>
    <t>Low</t>
  </si>
  <si>
    <t>CUST0007</t>
  </si>
  <si>
    <t>Tyler Fischer</t>
  </si>
  <si>
    <t>Engineer</t>
  </si>
  <si>
    <t>CUST0008</t>
  </si>
  <si>
    <t>William Horton</t>
  </si>
  <si>
    <t>CUST0009</t>
  </si>
  <si>
    <t>Donna Williams</t>
  </si>
  <si>
    <t>Retired</t>
  </si>
  <si>
    <t>CUST0010</t>
  </si>
  <si>
    <t>Mary Casey</t>
  </si>
  <si>
    <t>Boomers</t>
  </si>
  <si>
    <t>CUST0011</t>
  </si>
  <si>
    <t>Kevin Phillips</t>
  </si>
  <si>
    <t>CUST0012</t>
  </si>
  <si>
    <t>Michael Richard</t>
  </si>
  <si>
    <t>CUST0013</t>
  </si>
  <si>
    <t>Jaime Davis MD</t>
  </si>
  <si>
    <t>CUST0014</t>
  </si>
  <si>
    <t>Eric Peterson</t>
  </si>
  <si>
    <t>CUST0015</t>
  </si>
  <si>
    <t>Ms. Renee Cardenas PhD</t>
  </si>
  <si>
    <t>CUST0016</t>
  </si>
  <si>
    <t>Ashlee Baird</t>
  </si>
  <si>
    <t>CUST0017</t>
  </si>
  <si>
    <t>Michael Conner</t>
  </si>
  <si>
    <t>CUST0018</t>
  </si>
  <si>
    <t>Jeff Koch</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</si>
  <si>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</si>
  <si>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</si>
  <si>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</si>
  <si>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</si>
  <si>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</si>
  <si>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</si>
  <si>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</si>
  <si>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</si>
  <si>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</si>
  <si>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</si>
  <si>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</si>
  <si>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</si>
  <si>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</si>
  <si>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</si>
  <si>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</si>
  <si>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</si>
  <si>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</si>
  <si>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</si>
  <si>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</si>
  <si>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</si>
  <si>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</si>
  <si>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</si>
  <si>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</si>
  <si>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</si>
  <si>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</si>
  <si>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</si>
  <si>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</si>
  <si>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</si>
  <si>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</si>
  <si>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</si>
  <si>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</si>
  <si>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</si>
  <si>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</si>
  <si>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</si>
  <si>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</si>
  <si>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</si>
  <si>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</si>
  <si>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</si>
  <si>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</si>
  <si>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</si>
  <si>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</si>
  <si>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</si>
  <si>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</si>
  <si>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</si>
  <si>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</si>
  <si>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</si>
  <si>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</si>
  <si>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</si>
  <si>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</si>
  <si>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</si>
  <si>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</si>
  <si>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</si>
  <si>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</si>
  <si>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</si>
  <si>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</si>
  <si>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</si>
  <si>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</si>
  <si>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</si>
  <si>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</si>
  <si>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</si>
  <si>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</si>
  <si>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</si>
  <si>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</si>
  <si>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</si>
  <si>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</si>
  <si>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</si>
  <si>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</si>
  <si>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</si>
  <si>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</si>
  <si>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Mrs. 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</si>
  <si>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</si>
  <si>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</si>
  <si>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</si>
  <si>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</si>
  <si>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</si>
  <si>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</si>
  <si>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</si>
  <si>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</si>
  <si>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</si>
  <si>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</si>
  <si>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</si>
  <si>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</si>
  <si>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</si>
  <si>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</si>
  <si>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</si>
  <si>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</si>
  <si>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</si>
  <si>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</si>
  <si>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</si>
  <si>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</si>
  <si>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</si>
  <si>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</si>
  <si>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</si>
  <si>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</si>
  <si>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</si>
  <si>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</si>
  <si>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</si>
  <si>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</si>
  <si>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</si>
  <si>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</si>
  <si>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</si>
  <si>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</si>
  <si>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</si>
  <si>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</si>
  <si>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</si>
  <si>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</si>
  <si>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</si>
  <si>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</si>
  <si>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</si>
  <si>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</si>
  <si>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</si>
  <si>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</si>
  <si>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</si>
  <si>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</si>
  <si>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</si>
  <si>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</si>
  <si>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</si>
  <si>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</si>
  <si>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</si>
  <si>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</si>
  <si>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</si>
  <si>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</si>
  <si>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</si>
  <si>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</si>
  <si>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</si>
  <si>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</si>
  <si>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</si>
  <si>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</si>
  <si>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</si>
  <si>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</si>
  <si>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</si>
  <si>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</si>
  <si>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</si>
  <si>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</si>
  <si>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</si>
  <si>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</si>
  <si>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</si>
  <si>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</si>
  <si>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</si>
  <si>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</si>
  <si>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</si>
  <si>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</si>
  <si>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</si>
  <si>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</si>
  <si>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</si>
  <si>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</si>
  <si>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</si>
  <si>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</si>
  <si>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</si>
  <si>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</si>
  <si>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</si>
  <si>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</si>
  <si>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</si>
  <si>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</si>
  <si>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</si>
  <si>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</si>
  <si>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</si>
  <si>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</si>
  <si>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</si>
  <si>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</si>
  <si>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</si>
  <si>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</si>
  <si>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</si>
  <si>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</si>
  <si>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</si>
  <si>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</si>
  <si>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</si>
  <si>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</si>
  <si>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</si>
  <si>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</si>
  <si>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</si>
  <si>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</si>
  <si>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</si>
  <si>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</si>
  <si>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</si>
  <si>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</si>
  <si>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</si>
  <si>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</si>
  <si>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</si>
  <si>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</si>
  <si>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</si>
  <si>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</si>
  <si>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</si>
  <si>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</si>
  <si>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</si>
  <si>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</si>
  <si>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</si>
  <si>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</si>
  <si>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</si>
  <si>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</si>
  <si>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</si>
  <si>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</si>
  <si>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</si>
  <si>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</si>
  <si>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</si>
  <si>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</si>
  <si>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</si>
  <si>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</si>
  <si>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</si>
  <si>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</si>
  <si>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</si>
  <si>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</si>
  <si>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</si>
  <si>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</si>
  <si>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</si>
  <si>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</si>
  <si>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</si>
  <si>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</si>
  <si>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</si>
  <si>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</si>
  <si>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</si>
  <si>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</si>
  <si>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</si>
  <si>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</si>
  <si>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</si>
  <si>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</si>
  <si>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</si>
  <si>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</si>
  <si>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</si>
  <si>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</si>
  <si>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</si>
  <si>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</si>
  <si>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</si>
  <si>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</si>
  <si>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</si>
  <si>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</si>
  <si>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</si>
  <si>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</si>
  <si>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</si>
  <si>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</si>
  <si>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</si>
  <si>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</si>
  <si>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</si>
  <si>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</si>
  <si>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</si>
  <si>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</si>
  <si>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</si>
  <si>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</si>
  <si>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</si>
  <si>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</si>
  <si>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</si>
  <si>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</si>
  <si>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</si>
  <si>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</si>
  <si>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</si>
  <si>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</si>
  <si>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</si>
  <si>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</si>
  <si>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</si>
  <si>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</si>
  <si>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</si>
  <si>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</si>
  <si>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</si>
  <si>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</si>
  <si>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</si>
  <si>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</si>
  <si>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</si>
  <si>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</si>
  <si>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</si>
  <si>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</si>
  <si>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</si>
  <si>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</si>
  <si>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</si>
  <si>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</si>
  <si>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</si>
  <si>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</si>
  <si>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</si>
  <si>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</si>
  <si>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</si>
  <si>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</si>
  <si>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</si>
  <si>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</si>
  <si>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</si>
  <si>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</si>
  <si>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</si>
  <si>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</si>
  <si>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</si>
  <si>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</si>
  <si>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</si>
  <si>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</si>
  <si>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</si>
  <si>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</si>
  <si>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</si>
  <si>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</si>
  <si>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</si>
  <si>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</si>
  <si>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</si>
  <si>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</si>
  <si>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</si>
  <si>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</si>
  <si>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</si>
  <si>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</si>
  <si>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</si>
  <si>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</si>
  <si>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</si>
  <si>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</si>
  <si>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</si>
  <si>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</si>
  <si>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</si>
  <si>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</si>
  <si>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</si>
  <si>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</si>
  <si>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</si>
  <si>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</si>
  <si>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</si>
  <si>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</si>
  <si>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</si>
  <si>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</si>
  <si>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</si>
  <si>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</si>
  <si>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</si>
  <si>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</si>
  <si>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</si>
  <si>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</si>
  <si>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</si>
  <si>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</si>
  <si>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</si>
  <si>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</si>
  <si>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</si>
  <si>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</si>
  <si>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</si>
  <si>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</si>
  <si>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</si>
  <si>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</si>
  <si>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</si>
  <si>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</si>
  <si>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</si>
  <si>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</si>
  <si>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</si>
  <si>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</si>
  <si>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</si>
  <si>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</si>
  <si>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</si>
  <si>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</si>
  <si>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</si>
  <si>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</si>
  <si>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</si>
  <si>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</si>
  <si>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</si>
  <si>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</si>
  <si>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</si>
  <si>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</si>
  <si>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</si>
  <si>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</si>
  <si>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</si>
  <si>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</si>
  <si>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</si>
  <si>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</si>
  <si>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</si>
  <si>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</si>
  <si>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</si>
  <si>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</si>
  <si>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</si>
  <si>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</si>
  <si>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</si>
  <si>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</si>
  <si>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</si>
  <si>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</si>
  <si>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</si>
  <si>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</si>
  <si>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</si>
  <si>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</si>
  <si>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</si>
  <si>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</si>
  <si>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</si>
  <si>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</si>
  <si>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</si>
  <si>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</si>
  <si>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</si>
  <si>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</si>
  <si>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</si>
  <si>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</si>
  <si>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</si>
  <si>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</si>
  <si>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</si>
  <si>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</si>
  <si>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</si>
  <si>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</si>
  <si>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</si>
  <si>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</si>
  <si>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</si>
  <si>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</si>
  <si>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</si>
  <si>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</si>
  <si>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</si>
  <si>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</si>
  <si>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</si>
  <si>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</si>
  <si>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</si>
  <si>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</si>
  <si>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</si>
  <si>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</si>
  <si>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</si>
  <si>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</si>
  <si>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</si>
  <si>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</si>
  <si>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</si>
  <si>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</si>
  <si>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</si>
  <si>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</si>
  <si>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</si>
  <si>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</si>
  <si>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</si>
  <si>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</si>
  <si>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</si>
  <si>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</si>
  <si>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</si>
  <si>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Mrs. 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</si>
  <si>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</si>
  <si>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</si>
  <si>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</si>
  <si>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</si>
  <si>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</si>
  <si>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</si>
  <si>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</si>
  <si>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</si>
  <si>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</si>
  <si>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</si>
  <si>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</si>
  <si>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</si>
  <si>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</si>
  <si>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</si>
  <si>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</si>
  <si>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</si>
  <si>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</si>
  <si>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</si>
  <si>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</si>
  <si>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</si>
  <si>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</si>
  <si>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</si>
  <si>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</si>
  <si>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</si>
  <si>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</si>
  <si>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</si>
  <si>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</si>
  <si>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</si>
  <si>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</si>
  <si>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</si>
  <si>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</si>
  <si>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</si>
  <si>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</si>
  <si>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</si>
  <si>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</si>
  <si>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</si>
  <si>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</si>
  <si>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</si>
  <si>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</si>
  <si>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</si>
  <si>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</si>
  <si>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</si>
  <si>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</si>
  <si>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</si>
  <si>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</si>
  <si>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</si>
  <si>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</si>
  <si>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</si>
  <si>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</si>
  <si>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</si>
  <si>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</si>
  <si>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</si>
  <si>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</si>
  <si>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</si>
  <si>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</si>
  <si>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</si>
  <si>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</si>
  <si>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</si>
  <si>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</si>
  <si>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</si>
  <si>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</si>
  <si>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</si>
  <si>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</si>
  <si>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</si>
  <si>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</si>
  <si>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</si>
  <si>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</si>
  <si>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</si>
  <si>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</si>
  <si>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</si>
  <si>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</si>
  <si>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</si>
  <si>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</si>
  <si>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</si>
  <si>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</si>
  <si>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</si>
  <si>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</si>
  <si>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</si>
  <si>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</si>
  <si>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</si>
  <si>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</si>
  <si>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</si>
  <si>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</si>
  <si>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</si>
  <si>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</si>
  <si>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Mr. 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</si>
  <si>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</si>
  <si>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</si>
  <si>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</si>
  <si>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</si>
  <si>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</si>
  <si>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</si>
  <si>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</si>
  <si>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</si>
  <si>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</si>
  <si>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</si>
  <si>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</si>
  <si>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</si>
  <si>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</si>
  <si>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</si>
  <si>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</si>
  <si>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</si>
  <si>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</si>
  <si>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</si>
  <si>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</si>
  <si>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</si>
  <si>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</si>
  <si>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</si>
  <si>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</si>
  <si>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</si>
  <si>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</si>
  <si>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</si>
  <si>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</si>
  <si>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</si>
  <si>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</si>
  <si>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</si>
  <si>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</si>
  <si>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</si>
  <si>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</si>
  <si>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</si>
  <si>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</si>
  <si>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</si>
  <si>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</si>
  <si>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</si>
  <si>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</si>
  <si>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</si>
  <si>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</si>
  <si>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</si>
  <si>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</si>
  <si>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</si>
  <si>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</si>
  <si>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</si>
  <si>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</si>
  <si>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</si>
  <si>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</si>
  <si>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</si>
  <si>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</si>
  <si>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</si>
  <si>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</si>
  <si>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</si>
  <si>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</si>
  <si>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</si>
  <si>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</si>
  <si>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</si>
  <si>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</si>
  <si>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</si>
  <si>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</si>
  <si>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</si>
  <si>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</si>
  <si>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</si>
  <si>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</si>
  <si>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</si>
  <si>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</si>
  <si>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</si>
  <si>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</si>
  <si>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</si>
  <si>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</si>
  <si>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</si>
  <si>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</si>
  <si>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</si>
  <si>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</si>
  <si>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</si>
  <si>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</si>
  <si>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</si>
  <si>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</si>
  <si>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</si>
  <si>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</si>
  <si>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</si>
  <si>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</si>
  <si>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</si>
  <si>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</si>
  <si>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</si>
  <si>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</si>
  <si>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</si>
  <si>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</si>
  <si>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</si>
  <si>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</si>
  <si>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</si>
  <si>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</si>
  <si>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</si>
  <si>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</si>
  <si>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</si>
  <si>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</si>
  <si>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</si>
  <si>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</si>
  <si>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</si>
  <si>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</si>
  <si>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</si>
  <si>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</si>
  <si>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</si>
  <si>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</si>
  <si>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</si>
  <si>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</si>
  <si>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</si>
  <si>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</si>
  <si>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</si>
  <si>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</si>
  <si>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</si>
  <si>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</si>
  <si>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</si>
  <si>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</si>
  <si>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</si>
  <si>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</si>
  <si>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</si>
  <si>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</si>
  <si>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</si>
  <si>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</si>
  <si>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</si>
  <si>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</si>
  <si>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</si>
  <si>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</si>
  <si>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</si>
  <si>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</si>
  <si>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</si>
  <si>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</si>
  <si>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</si>
  <si>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</si>
  <si>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</si>
  <si>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</si>
  <si>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</si>
  <si>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</si>
  <si>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</si>
  <si>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</si>
  <si>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</si>
  <si>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</si>
  <si>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</si>
  <si>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</si>
  <si>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</si>
  <si>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</si>
  <si>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</si>
  <si>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</si>
  <si>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</si>
  <si>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</si>
  <si>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</si>
  <si>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</si>
  <si>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</si>
  <si>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</si>
  <si>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</si>
  <si>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</si>
  <si>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</si>
  <si>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</si>
  <si>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</si>
  <si>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</si>
  <si>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</si>
  <si>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</si>
  <si>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</si>
  <si>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</si>
  <si>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</si>
  <si>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</si>
  <si>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</si>
  <si>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</si>
  <si>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</si>
  <si>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</si>
  <si>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</si>
  <si>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</si>
  <si>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</si>
  <si>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</si>
  <si>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</si>
  <si>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</si>
  <si>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</si>
  <si>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</si>
  <si>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Mrs. 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</si>
  <si>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</si>
  <si>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</si>
  <si>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</si>
  <si>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</si>
  <si>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</si>
  <si>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</si>
  <si>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</si>
  <si>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</si>
  <si>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</si>
  <si>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</si>
  <si>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</si>
  <si>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</si>
  <si>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</si>
  <si>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</si>
  <si>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</si>
  <si>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</si>
  <si>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</si>
  <si>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</si>
  <si>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</si>
  <si>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</si>
  <si>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</si>
  <si>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</si>
  <si>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</si>
  <si>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</si>
  <si>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</si>
  <si>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</si>
  <si>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</si>
  <si>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</si>
  <si>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</si>
  <si>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</si>
  <si>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</si>
  <si>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</si>
  <si>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</si>
  <si>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</si>
  <si>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</si>
  <si>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</si>
  <si>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</si>
  <si>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</si>
  <si>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</si>
  <si>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</si>
  <si>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</si>
  <si>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</si>
  <si>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</si>
  <si>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</si>
  <si>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</si>
  <si>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</si>
  <si>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</si>
  <si>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</si>
  <si>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</si>
  <si>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</si>
  <si>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</si>
  <si>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</si>
  <si>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</si>
  <si>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</si>
  <si>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</si>
  <si>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</si>
  <si>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</si>
  <si>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</si>
  <si>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</si>
  <si>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</si>
  <si>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</si>
  <si>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</si>
  <si>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</si>
  <si>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</si>
  <si>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</si>
  <si>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</si>
  <si>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</si>
  <si>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</si>
  <si>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</si>
  <si>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</si>
  <si>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</si>
  <si>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</si>
  <si>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</si>
  <si>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</si>
  <si>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</si>
  <si>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</si>
  <si>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</si>
  <si>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</si>
  <si>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</si>
  <si>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</si>
  <si>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</si>
  <si>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</si>
  <si>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</si>
  <si>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</si>
  <si>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</si>
  <si>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</si>
  <si>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</si>
  <si>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</si>
  <si>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</si>
  <si>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</si>
  <si>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</si>
  <si>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</si>
  <si>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</si>
  <si>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</si>
  <si>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</si>
  <si>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</si>
  <si>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</si>
  <si>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</si>
  <si>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</si>
  <si>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</si>
  <si>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</si>
  <si>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</si>
  <si>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</si>
  <si>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</si>
  <si>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</si>
  <si>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</si>
  <si>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</si>
  <si>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</si>
  <si>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</si>
  <si>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</si>
  <si>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</si>
  <si>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</si>
  <si>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</si>
  <si>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</si>
  <si>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</si>
  <si>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</si>
  <si>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</si>
  <si>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</si>
  <si>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</si>
  <si>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</si>
  <si>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</si>
  <si>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</si>
  <si>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</si>
  <si>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</si>
  <si>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</si>
  <si>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</si>
  <si>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</si>
  <si>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</si>
  <si>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</si>
  <si>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</si>
  <si>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</si>
  <si>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</si>
  <si>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</si>
  <si>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</si>
  <si>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</si>
  <si>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</si>
  <si>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</si>
  <si>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</si>
  <si>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</si>
  <si>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</si>
  <si>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</si>
  <si>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</si>
  <si>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</si>
  <si>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</si>
  <si>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</si>
  <si>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</si>
  <si>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</si>
  <si>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</si>
  <si>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</si>
  <si>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</si>
  <si>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</si>
  <si>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</si>
  <si>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</si>
  <si>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</si>
  <si>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</si>
  <si>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</si>
  <si>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</si>
  <si>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</si>
  <si>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</si>
  <si>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</si>
  <si>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</si>
  <si>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</si>
  <si>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</si>
  <si>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</si>
  <si>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</si>
  <si>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</si>
  <si>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</si>
  <si>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</si>
  <si>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</si>
  <si>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</si>
  <si>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</si>
  <si>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</si>
  <si>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</si>
  <si>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</si>
  <si>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</si>
  <si>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</si>
  <si>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</si>
  <si>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</si>
  <si>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</si>
  <si>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</si>
  <si>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</si>
  <si>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</si>
  <si>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</si>
  <si>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</si>
  <si>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</si>
  <si>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</si>
  <si>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</si>
  <si>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</si>
  <si>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</si>
  <si>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</si>
  <si>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</si>
  <si>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</si>
  <si>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</si>
  <si>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</si>
  <si>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</si>
  <si>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</si>
  <si>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</si>
  <si>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</si>
  <si>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</si>
  <si>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</si>
  <si>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</si>
  <si>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</si>
  <si>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</si>
  <si>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</si>
  <si>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</si>
  <si>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</si>
  <si>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</si>
  <si>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</si>
  <si>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</si>
  <si>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</si>
  <si>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</si>
  <si>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</si>
  <si>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</si>
  <si>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</si>
  <si>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</si>
  <si>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</si>
  <si>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</si>
  <si>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</si>
  <si>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</si>
  <si>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</si>
  <si>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</si>
  <si>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</si>
  <si>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</si>
  <si>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</si>
  <si>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</si>
  <si>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</si>
  <si>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</si>
  <si>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</si>
  <si>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</si>
  <si>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</si>
  <si>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</si>
  <si>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</si>
  <si>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</si>
  <si>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</si>
  <si>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</si>
  <si>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</si>
  <si>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</si>
  <si>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</si>
  <si>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</si>
  <si>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</si>
  <si>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</si>
  <si>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</si>
  <si>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</si>
  <si>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</si>
  <si>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</si>
  <si>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</si>
  <si>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</si>
  <si>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</si>
  <si>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</si>
  <si>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</si>
  <si>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</si>
  <si>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</si>
  <si>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</si>
  <si>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</si>
  <si>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</si>
  <si>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</si>
  <si>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</si>
  <si>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</si>
  <si>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</si>
  <si>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</si>
  <si>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</si>
  <si>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</si>
  <si>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</si>
  <si>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</si>
  <si>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</si>
  <si>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</si>
  <si>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</si>
  <si>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</si>
  <si>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</si>
  <si>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</si>
  <si>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</si>
  <si>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</si>
  <si>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</si>
  <si>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</si>
  <si>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</si>
  <si>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</si>
  <si>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</si>
  <si>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</si>
  <si>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</si>
  <si>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</si>
  <si>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</si>
  <si>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</si>
  <si>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</si>
  <si>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</si>
  <si>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</si>
  <si>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</si>
  <si>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</si>
  <si>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</si>
  <si>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</si>
  <si>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</si>
  <si>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</si>
  <si>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</si>
  <si>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</si>
  <si>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Measures</t>
  </si>
  <si>
    <t/>
  </si>
  <si>
    <t>TOTAL CUSTOMERS</t>
  </si>
  <si>
    <t>What is the total customer count and their distribution by Region and Gender?</t>
  </si>
  <si>
    <t>Row Labels</t>
  </si>
  <si>
    <t>Which customer segment is the largest and which has the highest average income?</t>
  </si>
  <si>
    <t>AVERAGE INCOME</t>
  </si>
  <si>
    <t>How long have our customers been with us? Who are our most loyal customers?</t>
  </si>
  <si>
    <t>Tenure_Bracket</t>
  </si>
  <si>
    <t>New (0-2 Yrs)</t>
  </si>
  <si>
    <t>Emerging (3-5 Yrs)</t>
  </si>
  <si>
    <t>Established (6-8 Yrs)</t>
  </si>
  <si>
    <t>Loyal (9-10 Yrs)</t>
  </si>
  <si>
    <t>How do we segment our customers by AgeGroup and Income
Bracket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</si>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</sst>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0;\(\$#,##0.00\);\$#,##0.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44" fontId="0" fillId="0" borderId="0" xfId="1" applyFont="1"/>
    <xf numFmtId="0" fontId="2" fillId="0" borderId="0" xfId="0" applyFont="1" applyAlignment="1">
      <alignment horizontal="center"/>
    </xf>
    <xf numFmtId="0" fontId="2" fillId="0" borderId="0" xfId="0" applyFont="1" applyAlignment="1">
      <alignment horizontal="center" wrapText="1"/>
    </xf>
  </cellXfs>
  <cellStyles count="2">
    <cellStyle name="Currency" xfId="1" builtinId="4"/>
    <cellStyle name="Normal" xfId="0" builtinId="0"/>
  </cellStyles>
  <dxfs count="8">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50222D"/>
      <color rgb="FF8C3C4F"/>
      <color rgb="FF696783"/>
      <color rgb="FFC4C3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5.xml"/><Relationship Id="rId32"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8"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[mb.xlsx]Calculation!PivotTable3</c:name>
    <c:fmtId val="8"/>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50222D"/>
          </a:solidFill>
          <a:ln w="19050">
            <a:noFill/>
          </a:ln>
          <a:effectLst/>
        </c:spPr>
        <c:dLbl>
          <c:idx val="0"/>
          <c:layout>
            <c:manualLayout>
              <c:x val="-6.1158304133198123E-2"/>
              <c:y val="-8.17562355223332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C4C3D0"/>
          </a:solidFill>
          <a:ln w="19050">
            <a:noFill/>
          </a:ln>
          <a:effectLst/>
        </c:spPr>
        <c:dLbl>
          <c:idx val="0"/>
          <c:layout>
            <c:manualLayout>
              <c:x val="7.791189120379996E-2"/>
              <c:y val="7.22514835199415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C4C3D0"/>
          </a:solidFill>
          <a:ln w="19050">
            <a:noFill/>
          </a:ln>
          <a:effectLst/>
        </c:spPr>
        <c:dLbl>
          <c:idx val="0"/>
          <c:layout>
            <c:manualLayout>
              <c:x val="7.791189120379996E-2"/>
              <c:y val="7.22514835199415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50222D"/>
          </a:solidFill>
          <a:ln w="19050">
            <a:noFill/>
          </a:ln>
          <a:effectLst/>
        </c:spPr>
        <c:dLbl>
          <c:idx val="0"/>
          <c:layout>
            <c:manualLayout>
              <c:x val="-6.1158304133198123E-2"/>
              <c:y val="-8.17562355223332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C4C3D0"/>
          </a:solidFill>
          <a:ln w="19050">
            <a:noFill/>
          </a:ln>
          <a:effectLst/>
        </c:spPr>
        <c:dLbl>
          <c:idx val="0"/>
          <c:layout>
            <c:manualLayout>
              <c:x val="7.791189120379996E-2"/>
              <c:y val="7.22514835199415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50222D"/>
          </a:solidFill>
          <a:ln w="19050">
            <a:noFill/>
          </a:ln>
          <a:effectLst/>
        </c:spPr>
        <c:dLbl>
          <c:idx val="0"/>
          <c:layout>
            <c:manualLayout>
              <c:x val="-6.1158304133198123E-2"/>
              <c:y val="-8.17562355223332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Calculation!$I$4</c:f>
              <c:strCache>
                <c:ptCount val="1"/>
                <c:pt idx="0">
                  <c:v>Total</c:v>
                </c:pt>
              </c:strCache>
            </c:strRef>
          </c:tx>
          <c:spPr>
            <a:ln>
              <a:noFill/>
            </a:ln>
          </c:spPr>
          <c:dPt>
            <c:idx val="0"/>
            <c:bubble3D val="0"/>
            <c:spPr>
              <a:solidFill>
                <a:srgbClr val="C4C3D0"/>
              </a:solidFill>
              <a:ln w="19050">
                <a:noFill/>
              </a:ln>
              <a:effectLst/>
            </c:spPr>
            <c:extLst>
              <c:ext xmlns:c16="http://schemas.microsoft.com/office/drawing/2014/chart" uri="{C3380CC4-5D6E-409C-BE32-E72D297353CC}">
                <c16:uniqueId val="{00000001-2A88-4CB5-90F4-C5F0E402214F}"/>
              </c:ext>
            </c:extLst>
          </c:dPt>
          <c:dPt>
            <c:idx val="1"/>
            <c:bubble3D val="0"/>
            <c:spPr>
              <a:solidFill>
                <a:srgbClr val="50222D"/>
              </a:solidFill>
              <a:ln w="19050">
                <a:noFill/>
              </a:ln>
              <a:effectLst/>
            </c:spPr>
            <c:extLst>
              <c:ext xmlns:c16="http://schemas.microsoft.com/office/drawing/2014/chart" uri="{C3380CC4-5D6E-409C-BE32-E72D297353CC}">
                <c16:uniqueId val="{00000003-2A88-4CB5-90F4-C5F0E402214F}"/>
              </c:ext>
            </c:extLst>
          </c:dPt>
          <c:dLbls>
            <c:dLbl>
              <c:idx val="0"/>
              <c:layout>
                <c:manualLayout>
                  <c:x val="7.791189120379996E-2"/>
                  <c:y val="7.22514835199415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A88-4CB5-90F4-C5F0E402214F}"/>
                </c:ext>
              </c:extLst>
            </c:dLbl>
            <c:dLbl>
              <c:idx val="1"/>
              <c:layout>
                <c:manualLayout>
                  <c:x val="-6.1158304133198123E-2"/>
                  <c:y val="-8.175623552233329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A88-4CB5-90F4-C5F0E40221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Calculation!$H$5:$H$6</c:f>
              <c:strCache>
                <c:ptCount val="2"/>
                <c:pt idx="0">
                  <c:v>Female</c:v>
                </c:pt>
                <c:pt idx="1">
                  <c:v>Male</c:v>
                </c:pt>
              </c:strCache>
            </c:strRef>
          </c:cat>
          <c:val>
            <c:numRef>
              <c:f>Calculation!$I$5:$I$6</c:f>
              <c:numCache>
                <c:formatCode>General</c:formatCode>
                <c:ptCount val="2"/>
                <c:pt idx="0">
                  <c:v>256</c:v>
                </c:pt>
                <c:pt idx="1">
                  <c:v>244</c:v>
                </c:pt>
              </c:numCache>
            </c:numRef>
          </c:val>
          <c:extLst>
            <c:ext xmlns:c16="http://schemas.microsoft.com/office/drawing/2014/chart" uri="{C3380CC4-5D6E-409C-BE32-E72D297353CC}">
              <c16:uniqueId val="{00000004-2A88-4CB5-90F4-C5F0E402214F}"/>
            </c:ext>
          </c:extLst>
        </c:ser>
        <c:dLbls>
          <c:showLegendKey val="0"/>
          <c:showVal val="1"/>
          <c:showCatName val="0"/>
          <c:showSerName val="0"/>
          <c:showPercent val="0"/>
          <c:showBubbleSize val="0"/>
          <c:showLeaderLines val="0"/>
        </c:dLbls>
        <c:firstSliceAng val="38"/>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[mb.xlsx]Calculation!PivotTable2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0222D"/>
          </a:solidFill>
          <a:ln>
            <a:noFill/>
          </a:ln>
          <a:effectLst/>
        </c:spPr>
      </c:pivotFmt>
      <c:pivotFmt>
        <c:idx val="2"/>
        <c:spPr>
          <a:solidFill>
            <a:srgbClr val="C4C3D0"/>
          </a:solidFill>
          <a:ln>
            <a:noFill/>
          </a:ln>
          <a:effectLst/>
        </c:spPr>
      </c:pivotFmt>
      <c:pivotFmt>
        <c:idx val="3"/>
        <c:spPr>
          <a:solidFill>
            <a:srgbClr val="8C3C4F"/>
          </a:solidFill>
          <a:ln>
            <a:noFill/>
          </a:ln>
          <a:effectLst/>
        </c:spPr>
      </c:pivotFmt>
      <c:pivotFmt>
        <c:idx val="4"/>
        <c:spPr>
          <a:solidFill>
            <a:srgbClr val="696783"/>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0222D"/>
          </a:solidFill>
          <a:ln>
            <a:noFill/>
          </a:ln>
          <a:effectLst/>
        </c:spPr>
      </c:pivotFmt>
      <c:pivotFmt>
        <c:idx val="7"/>
        <c:spPr>
          <a:solidFill>
            <a:srgbClr val="C4C3D0"/>
          </a:solidFill>
          <a:ln>
            <a:noFill/>
          </a:ln>
          <a:effectLst/>
        </c:spPr>
      </c:pivotFmt>
      <c:pivotFmt>
        <c:idx val="8"/>
        <c:spPr>
          <a:solidFill>
            <a:srgbClr val="8C3C4F"/>
          </a:solidFill>
          <a:ln>
            <a:noFill/>
          </a:ln>
          <a:effectLst/>
        </c:spPr>
      </c:pivotFmt>
      <c:pivotFmt>
        <c:idx val="9"/>
        <c:spPr>
          <a:solidFill>
            <a:srgbClr val="696783"/>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0222D"/>
          </a:solidFill>
          <a:ln>
            <a:noFill/>
          </a:ln>
          <a:effectLst/>
        </c:spPr>
      </c:pivotFmt>
      <c:pivotFmt>
        <c:idx val="12"/>
        <c:spPr>
          <a:solidFill>
            <a:srgbClr val="C4C3D0"/>
          </a:solidFill>
          <a:ln>
            <a:noFill/>
          </a:ln>
          <a:effectLst/>
        </c:spPr>
      </c:pivotFmt>
      <c:pivotFmt>
        <c:idx val="13"/>
        <c:spPr>
          <a:solidFill>
            <a:srgbClr val="8C3C4F"/>
          </a:solidFill>
          <a:ln>
            <a:noFill/>
          </a:ln>
          <a:effectLst/>
        </c:spPr>
      </c:pivotFmt>
      <c:pivotFmt>
        <c:idx val="14"/>
        <c:spPr>
          <a:solidFill>
            <a:srgbClr val="696783"/>
          </a:solidFill>
          <a:ln>
            <a:noFill/>
          </a:ln>
          <a:effectLst/>
        </c:spPr>
      </c:pivotFmt>
    </c:pivotFmts>
    <c:plotArea>
      <c:layout/>
      <c:barChart>
        <c:barDir val="col"/>
        <c:grouping val="clustered"/>
        <c:varyColors val="0"/>
        <c:ser>
          <c:idx val="0"/>
          <c:order val="0"/>
          <c:tx>
            <c:strRef>
              <c:f>Calculation!$F$4</c:f>
              <c:strCache>
                <c:ptCount val="1"/>
                <c:pt idx="0">
                  <c:v>Total</c:v>
                </c:pt>
              </c:strCache>
            </c:strRef>
          </c:tx>
          <c:spPr>
            <a:solidFill>
              <a:schemeClr val="accent1"/>
            </a:solidFill>
            <a:ln>
              <a:noFill/>
            </a:ln>
            <a:effectLst/>
          </c:spPr>
          <c:invertIfNegative val="0"/>
          <c:dPt>
            <c:idx val="0"/>
            <c:invertIfNegative val="0"/>
            <c:bubble3D val="0"/>
            <c:spPr>
              <a:solidFill>
                <a:srgbClr val="50222D"/>
              </a:solidFill>
              <a:ln>
                <a:noFill/>
              </a:ln>
              <a:effectLst/>
            </c:spPr>
            <c:extLst>
              <c:ext xmlns:c16="http://schemas.microsoft.com/office/drawing/2014/chart" uri="{C3380CC4-5D6E-409C-BE32-E72D297353CC}">
                <c16:uniqueId val="{00000001-690F-4E35-8BB4-AB07F2BF7442}"/>
              </c:ext>
            </c:extLst>
          </c:dPt>
          <c:dPt>
            <c:idx val="1"/>
            <c:invertIfNegative val="0"/>
            <c:bubble3D val="0"/>
            <c:spPr>
              <a:solidFill>
                <a:srgbClr val="C4C3D0"/>
              </a:solidFill>
              <a:ln>
                <a:noFill/>
              </a:ln>
              <a:effectLst/>
            </c:spPr>
            <c:extLst>
              <c:ext xmlns:c16="http://schemas.microsoft.com/office/drawing/2014/chart" uri="{C3380CC4-5D6E-409C-BE32-E72D297353CC}">
                <c16:uniqueId val="{00000003-690F-4E35-8BB4-AB07F2BF7442}"/>
              </c:ext>
            </c:extLst>
          </c:dPt>
          <c:dPt>
            <c:idx val="2"/>
            <c:invertIfNegative val="0"/>
            <c:bubble3D val="0"/>
            <c:spPr>
              <a:solidFill>
                <a:srgbClr val="8C3C4F"/>
              </a:solidFill>
              <a:ln>
                <a:noFill/>
              </a:ln>
              <a:effectLst/>
            </c:spPr>
            <c:extLst>
              <c:ext xmlns:c16="http://schemas.microsoft.com/office/drawing/2014/chart" uri="{C3380CC4-5D6E-409C-BE32-E72D297353CC}">
                <c16:uniqueId val="{00000005-690F-4E35-8BB4-AB07F2BF7442}"/>
              </c:ext>
            </c:extLst>
          </c:dPt>
          <c:dPt>
            <c:idx val="3"/>
            <c:invertIfNegative val="0"/>
            <c:bubble3D val="0"/>
            <c:spPr>
              <a:solidFill>
                <a:srgbClr val="696783"/>
              </a:solidFill>
              <a:ln>
                <a:noFill/>
              </a:ln>
              <a:effectLst/>
            </c:spPr>
            <c:extLst>
              <c:ext xmlns:c16="http://schemas.microsoft.com/office/drawing/2014/chart" uri="{C3380CC4-5D6E-409C-BE32-E72D297353CC}">
                <c16:uniqueId val="{00000007-690F-4E35-8BB4-AB07F2BF74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Calculation!$E$5:$E$8</c:f>
              <c:strCache>
                <c:ptCount val="4"/>
                <c:pt idx="0">
                  <c:v>East</c:v>
                </c:pt>
                <c:pt idx="1">
                  <c:v>North</c:v>
                </c:pt>
                <c:pt idx="2">
                  <c:v>South</c:v>
                </c:pt>
                <c:pt idx="3">
                  <c:v>West</c:v>
                </c:pt>
              </c:strCache>
            </c:strRef>
          </c:cat>
          <c:val>
            <c:numRef>
              <c:f>Calculation!$F$5:$F$8</c:f>
              <c:numCache>
                <c:formatCode>General</c:formatCode>
                <c:ptCount val="4"/>
                <c:pt idx="0">
                  <c:v>133</c:v>
                </c:pt>
                <c:pt idx="1">
                  <c:v>120</c:v>
                </c:pt>
                <c:pt idx="2">
                  <c:v>137</c:v>
                </c:pt>
                <c:pt idx="3">
                  <c:v>110</c:v>
                </c:pt>
              </c:numCache>
            </c:numRef>
          </c:val>
          <c:extLst>
            <c:ext xmlns:c16="http://schemas.microsoft.com/office/drawing/2014/chart" uri="{C3380CC4-5D6E-409C-BE32-E72D297353CC}">
              <c16:uniqueId val="{00000008-690F-4E35-8BB4-AB07F2BF7442}"/>
            </c:ext>
          </c:extLst>
        </c:ser>
        <c:dLbls>
          <c:dLblPos val="outEnd"/>
          <c:showLegendKey val="0"/>
          <c:showVal val="1"/>
          <c:showCatName val="0"/>
          <c:showSerName val="0"/>
          <c:showPercent val="0"/>
          <c:showBubbleSize val="0"/>
        </c:dLbls>
        <c:gapWidth val="219"/>
        <c:overlap val="-27"/>
        <c:axId val="618004864"/>
        <c:axId val="618001024"/>
      </c:barChart>
      <c:catAx>
        <c:axId val="6180048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001024"/>
        <c:crosses val="autoZero"/>
        <c:auto val="1"/>
        <c:lblAlgn val="ctr"/>
        <c:lblOffset val="100"/>
        <c:noMultiLvlLbl val="0"/>
      </c:catAx>
      <c:valAx>
        <c:axId val="618001024"/>
        <c:scaling>
          <c:orientation val="minMax"/>
        </c:scaling>
        <c:delete val="1"/>
        <c:axPos val="l"/>
        <c:numFmt formatCode="General" sourceLinked="1"/>
        <c:majorTickMark val="none"/>
        <c:minorTickMark val="none"/>
        <c:tickLblPos val="nextTo"/>
        <c:crossAx val="61800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noFill/>
              <a:round/>
            </a:ln>
            <a:effectLst/>
          </c:spPr>
          <c:marker>
            <c:symbol val="circle"/>
            <c:size val="8"/>
            <c:spPr>
              <a:solidFill>
                <a:srgbClr val="50222D"/>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Calculation!$E$20:$E$23</c:f>
              <c:strCache>
                <c:ptCount val="4"/>
                <c:pt idx="0">
                  <c:v>Emerging (3-5 Yrs)</c:v>
                </c:pt>
                <c:pt idx="1">
                  <c:v>Established (6-8 Yrs)</c:v>
                </c:pt>
                <c:pt idx="2">
                  <c:v>Loyal (9-10 Yrs)</c:v>
                </c:pt>
                <c:pt idx="3">
                  <c:v>New (0-2 Yrs)</c:v>
                </c:pt>
              </c:strCache>
            </c:strRef>
          </c:cat>
          <c:val>
            <c:numRef>
              <c:f>Calculation!$F$20:$F$23</c:f>
              <c:numCache>
                <c:formatCode>_("$"* #,##0.00_);_("$"* \(#,##0.00\);_("$"* "-"??_);_(@_)</c:formatCode>
                <c:ptCount val="4"/>
                <c:pt idx="0">
                  <c:v>114148.36986301369</c:v>
                </c:pt>
                <c:pt idx="1">
                  <c:v>114372.0294117647</c:v>
                </c:pt>
                <c:pt idx="2">
                  <c:v>103390</c:v>
                </c:pt>
                <c:pt idx="3">
                  <c:v>120057.29032258065</c:v>
                </c:pt>
              </c:numCache>
            </c:numRef>
          </c:val>
          <c:smooth val="0"/>
          <c:extLst>
            <c:ext xmlns:c16="http://schemas.microsoft.com/office/drawing/2014/chart" uri="{C3380CC4-5D6E-409C-BE32-E72D297353CC}">
              <c16:uniqueId val="{00000000-B793-4407-A766-8A004C0A51DA}"/>
            </c:ext>
          </c:extLst>
        </c:ser>
        <c:dLbls>
          <c:dLblPos val="t"/>
          <c:showLegendKey val="0"/>
          <c:showVal val="1"/>
          <c:showCatName val="0"/>
          <c:showSerName val="0"/>
          <c:showPercent val="0"/>
          <c:showBubbleSize val="0"/>
        </c:dLbls>
        <c:dropLines>
          <c:spPr>
            <a:ln w="25400" cap="flat" cmpd="sng" algn="ctr">
              <a:solidFill>
                <a:srgbClr val="C4C3D0"/>
              </a:solidFill>
              <a:round/>
            </a:ln>
            <a:effectLst/>
          </c:spPr>
        </c:dropLines>
        <c:marker val="1"/>
        <c:smooth val="0"/>
        <c:axId val="617759104"/>
        <c:axId val="617769184"/>
      </c:lineChart>
      <c:catAx>
        <c:axId val="61775910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769184"/>
        <c:crosses val="autoZero"/>
        <c:auto val="1"/>
        <c:lblAlgn val="ctr"/>
        <c:lblOffset val="100"/>
        <c:noMultiLvlLbl val="0"/>
      </c:catAx>
      <c:valAx>
        <c:axId val="617769184"/>
        <c:scaling>
          <c:orientation val="minMax"/>
        </c:scaling>
        <c:delete val="1"/>
        <c:axPos val="l"/>
        <c:numFmt formatCode="_(&quot;$&quot;* #,##0.00_);_(&quot;$&quot;* \(#,##0.00\);_(&quot;$&quot;* &quot;-&quot;??_);_(@_)" sourceLinked="1"/>
        <c:majorTickMark val="none"/>
        <c:minorTickMark val="none"/>
        <c:tickLblPos val="nextTo"/>
        <c:crossAx val="61775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[mb.xlsx]Calculation!PivotTable9</c:name>
    <c:fmtId val="6"/>
  </c:pivotSource>
  <c:chart>
    <c:autoTitleDeleted val="0"/>
    <c:pivotFmts>
      <c:pivotFmt>
        <c:idx val="0"/>
        <c:spPr>
          <a:solidFill>
            <a:srgbClr val="C4C3D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967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C3C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022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4C3D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967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C3C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022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4C3D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967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8C3C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022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Calculation!$C$27:$C$28</c:f>
              <c:strCache>
                <c:ptCount val="1"/>
                <c:pt idx="0">
                  <c:v>High</c:v>
                </c:pt>
              </c:strCache>
            </c:strRef>
          </c:tx>
          <c:spPr>
            <a:solidFill>
              <a:srgbClr val="C4C3D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Calculation!$B$29:$B$32</c:f>
              <c:strCache>
                <c:ptCount val="4"/>
                <c:pt idx="0">
                  <c:v>Gen Z</c:v>
                </c:pt>
                <c:pt idx="1">
                  <c:v>Boomers</c:v>
                </c:pt>
                <c:pt idx="2">
                  <c:v>Gen X</c:v>
                </c:pt>
                <c:pt idx="3">
                  <c:v>Millennials</c:v>
                </c:pt>
              </c:strCache>
            </c:strRef>
          </c:cat>
          <c:val>
            <c:numRef>
              <c:f>Calculation!$C$29:$C$32</c:f>
              <c:numCache>
                <c:formatCode>General</c:formatCode>
                <c:ptCount val="4"/>
                <c:pt idx="0">
                  <c:v>22</c:v>
                </c:pt>
                <c:pt idx="1">
                  <c:v>28</c:v>
                </c:pt>
                <c:pt idx="2">
                  <c:v>33</c:v>
                </c:pt>
                <c:pt idx="3">
                  <c:v>34</c:v>
                </c:pt>
              </c:numCache>
            </c:numRef>
          </c:val>
          <c:extLst>
            <c:ext xmlns:c16="http://schemas.microsoft.com/office/drawing/2014/chart" uri="{C3380CC4-5D6E-409C-BE32-E72D297353CC}">
              <c16:uniqueId val="{00000000-721A-4D44-B43F-234E20AE1FD0}"/>
            </c:ext>
          </c:extLst>
        </c:ser>
        <c:ser>
          <c:idx val="1"/>
          <c:order val="1"/>
          <c:tx>
            <c:strRef>
              <c:f>Calculation!$D$27:$D$28</c:f>
              <c:strCache>
                <c:ptCount val="1"/>
                <c:pt idx="0">
                  <c:v>Low</c:v>
                </c:pt>
              </c:strCache>
            </c:strRef>
          </c:tx>
          <c:spPr>
            <a:solidFill>
              <a:srgbClr val="6967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Calculation!$B$29:$B$32</c:f>
              <c:strCache>
                <c:ptCount val="4"/>
                <c:pt idx="0">
                  <c:v>Gen Z</c:v>
                </c:pt>
                <c:pt idx="1">
                  <c:v>Boomers</c:v>
                </c:pt>
                <c:pt idx="2">
                  <c:v>Gen X</c:v>
                </c:pt>
                <c:pt idx="3">
                  <c:v>Millennials</c:v>
                </c:pt>
              </c:strCache>
            </c:strRef>
          </c:cat>
          <c:val>
            <c:numRef>
              <c:f>Calculation!$D$29:$D$32</c:f>
              <c:numCache>
                <c:formatCode>General</c:formatCode>
                <c:ptCount val="4"/>
                <c:pt idx="0">
                  <c:v>20</c:v>
                </c:pt>
                <c:pt idx="1">
                  <c:v>20</c:v>
                </c:pt>
                <c:pt idx="2">
                  <c:v>33</c:v>
                </c:pt>
                <c:pt idx="3">
                  <c:v>37</c:v>
                </c:pt>
              </c:numCache>
            </c:numRef>
          </c:val>
          <c:extLst>
            <c:ext xmlns:c16="http://schemas.microsoft.com/office/drawing/2014/chart" uri="{C3380CC4-5D6E-409C-BE32-E72D297353CC}">
              <c16:uniqueId val="{00000001-721A-4D44-B43F-234E20AE1FD0}"/>
            </c:ext>
          </c:extLst>
        </c:ser>
        <c:ser>
          <c:idx val="2"/>
          <c:order val="2"/>
          <c:tx>
            <c:strRef>
              <c:f>Calculation!$E$27:$E$28</c:f>
              <c:strCache>
                <c:ptCount val="1"/>
                <c:pt idx="0">
                  <c:v>Medium</c:v>
                </c:pt>
              </c:strCache>
            </c:strRef>
          </c:tx>
          <c:spPr>
            <a:solidFill>
              <a:srgbClr val="8C3C4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Calculation!$B$29:$B$32</c:f>
              <c:strCache>
                <c:ptCount val="4"/>
                <c:pt idx="0">
                  <c:v>Gen Z</c:v>
                </c:pt>
                <c:pt idx="1">
                  <c:v>Boomers</c:v>
                </c:pt>
                <c:pt idx="2">
                  <c:v>Gen X</c:v>
                </c:pt>
                <c:pt idx="3">
                  <c:v>Millennials</c:v>
                </c:pt>
              </c:strCache>
            </c:strRef>
          </c:cat>
          <c:val>
            <c:numRef>
              <c:f>Calculation!$E$29:$E$32</c:f>
              <c:numCache>
                <c:formatCode>General</c:formatCode>
                <c:ptCount val="4"/>
                <c:pt idx="0">
                  <c:v>26</c:v>
                </c:pt>
                <c:pt idx="1">
                  <c:v>43</c:v>
                </c:pt>
                <c:pt idx="2">
                  <c:v>35</c:v>
                </c:pt>
                <c:pt idx="3">
                  <c:v>31</c:v>
                </c:pt>
              </c:numCache>
            </c:numRef>
          </c:val>
          <c:extLst>
            <c:ext xmlns:c16="http://schemas.microsoft.com/office/drawing/2014/chart" uri="{C3380CC4-5D6E-409C-BE32-E72D297353CC}">
              <c16:uniqueId val="{00000002-721A-4D44-B43F-234E20AE1FD0}"/>
            </c:ext>
          </c:extLst>
        </c:ser>
        <c:ser>
          <c:idx val="3"/>
          <c:order val="3"/>
          <c:tx>
            <c:strRef>
              <c:f>Calculation!$F$27:$F$28</c:f>
              <c:strCache>
                <c:ptCount val="1"/>
                <c:pt idx="0">
                  <c:v>Premium</c:v>
                </c:pt>
              </c:strCache>
            </c:strRef>
          </c:tx>
          <c:spPr>
            <a:solidFill>
              <a:srgbClr val="50222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Calculation!$B$29:$B$32</c:f>
              <c:strCache>
                <c:ptCount val="4"/>
                <c:pt idx="0">
                  <c:v>Gen Z</c:v>
                </c:pt>
                <c:pt idx="1">
                  <c:v>Boomers</c:v>
                </c:pt>
                <c:pt idx="2">
                  <c:v>Gen X</c:v>
                </c:pt>
                <c:pt idx="3">
                  <c:v>Millennials</c:v>
                </c:pt>
              </c:strCache>
            </c:strRef>
          </c:cat>
          <c:val>
            <c:numRef>
              <c:f>Calculation!$F$29:$F$32</c:f>
              <c:numCache>
                <c:formatCode>General</c:formatCode>
                <c:ptCount val="4"/>
                <c:pt idx="0">
                  <c:v>18</c:v>
                </c:pt>
                <c:pt idx="1">
                  <c:v>35</c:v>
                </c:pt>
                <c:pt idx="2">
                  <c:v>40</c:v>
                </c:pt>
                <c:pt idx="3">
                  <c:v>45</c:v>
                </c:pt>
              </c:numCache>
            </c:numRef>
          </c:val>
          <c:extLst>
            <c:ext xmlns:c16="http://schemas.microsoft.com/office/drawing/2014/chart" uri="{C3380CC4-5D6E-409C-BE32-E72D297353CC}">
              <c16:uniqueId val="{00000003-721A-4D44-B43F-234E20AE1FD0}"/>
            </c:ext>
          </c:extLst>
        </c:ser>
        <c:dLbls>
          <c:dLblPos val="ctr"/>
          <c:showLegendKey val="0"/>
          <c:showVal val="1"/>
          <c:showCatName val="0"/>
          <c:showSerName val="0"/>
          <c:showPercent val="0"/>
          <c:showBubbleSize val="0"/>
        </c:dLbls>
        <c:gapWidth val="150"/>
        <c:overlap val="100"/>
        <c:axId val="617793664"/>
        <c:axId val="617809504"/>
      </c:barChart>
      <c:catAx>
        <c:axId val="61779366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809504"/>
        <c:crosses val="autoZero"/>
        <c:auto val="1"/>
        <c:lblAlgn val="ctr"/>
        <c:lblOffset val="100"/>
        <c:noMultiLvlLbl val="0"/>
      </c:catAx>
      <c:valAx>
        <c:axId val="617809504"/>
        <c:scaling>
          <c:orientation val="minMax"/>
        </c:scaling>
        <c:delete val="1"/>
        <c:axPos val="b"/>
        <c:numFmt formatCode="General" sourceLinked="1"/>
        <c:majorTickMark val="none"/>
        <c:minorTickMark val="none"/>
        <c:tickLblPos val="nextTo"/>
        <c:crossAx val="617793664"/>
        <c:crosses val="autoZero"/>
        <c:crossBetween val="between"/>
      </c:valAx>
      <c:spPr>
        <a:noFill/>
        <a:ln>
          <a:noFill/>
        </a:ln>
        <a:effectLst/>
      </c:spPr>
    </c:plotArea>
    <c:legend>
      <c:legendPos val="t"/>
      <c:layout>
        <c:manualLayout>
          <c:xMode val="edge"/>
          <c:yMode val="edge"/>
          <c:x val="5.4138887920006956E-2"/>
          <c:y val="2.0182602226072162E-2"/>
          <c:w val="0.8937825628829168"/>
          <c:h val="5.676396605614736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[mb.xlsx]Calculation!PivotTable10</c:name>
    <c:fmtId val="6"/>
  </c:pivotSource>
  <c:chart>
    <c:autoTitleDeleted val="0"/>
    <c:pivotFmts>
      <c:pivotFmt>
        <c:idx val="0"/>
        <c:spPr>
          <a:solidFill>
            <a:srgbClr val="C4C3D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967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C3C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022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4C3D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967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C3C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022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4C3D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96783"/>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8C3C4F"/>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022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0222D"/>
          </a:solidFill>
          <a:ln>
            <a:noFill/>
          </a:ln>
          <a:effectLst/>
        </c:spPr>
      </c:pivotFmt>
      <c:pivotFmt>
        <c:idx val="13"/>
        <c:spPr>
          <a:solidFill>
            <a:srgbClr val="50222D"/>
          </a:solidFill>
          <a:ln>
            <a:noFill/>
          </a:ln>
          <a:effectLst/>
        </c:spPr>
      </c:pivotFmt>
      <c:pivotFmt>
        <c:idx val="14"/>
        <c:spPr>
          <a:solidFill>
            <a:srgbClr val="8C3C4F"/>
          </a:solidFill>
          <a:ln>
            <a:noFill/>
          </a:ln>
          <a:effectLst/>
        </c:spPr>
      </c:pivotFmt>
      <c:pivotFmt>
        <c:idx val="15"/>
        <c:spPr>
          <a:solidFill>
            <a:srgbClr val="8C3C4F"/>
          </a:solidFill>
          <a:ln>
            <a:noFill/>
          </a:ln>
          <a:effectLst/>
        </c:spPr>
      </c:pivotFmt>
      <c:pivotFmt>
        <c:idx val="16"/>
        <c:spPr>
          <a:solidFill>
            <a:srgbClr val="50222D"/>
          </a:solidFill>
          <a:ln>
            <a:noFill/>
          </a:ln>
          <a:effectLst/>
        </c:spPr>
      </c:pivotFmt>
      <c:pivotFmt>
        <c:idx val="17"/>
        <c:spPr>
          <a:solidFill>
            <a:srgbClr val="8C3C4F"/>
          </a:solidFill>
          <a:ln>
            <a:noFill/>
          </a:ln>
          <a:effectLst/>
        </c:spPr>
      </c:pivotFmt>
      <c:pivotFmt>
        <c:idx val="18"/>
        <c:spPr>
          <a:solidFill>
            <a:srgbClr val="50222D"/>
          </a:solidFill>
          <a:ln>
            <a:noFill/>
          </a:ln>
          <a:effectLst/>
        </c:spPr>
      </c:pivotFmt>
      <c:pivotFmt>
        <c:idx val="19"/>
        <c:spPr>
          <a:solidFill>
            <a:srgbClr val="8C3C4F"/>
          </a:solidFill>
          <a:ln>
            <a:noFill/>
          </a:ln>
          <a:effectLst/>
        </c:spPr>
      </c:pivotFmt>
      <c:pivotFmt>
        <c:idx val="20"/>
        <c:spPr>
          <a:solidFill>
            <a:srgbClr val="C4C3D0"/>
          </a:solidFill>
          <a:ln>
            <a:noFill/>
          </a:ln>
          <a:effectLst/>
        </c:spPr>
      </c:pivotFmt>
      <c:pivotFmt>
        <c:idx val="21"/>
        <c:spPr>
          <a:solidFill>
            <a:srgbClr val="C4C3D0"/>
          </a:solidFill>
          <a:ln>
            <a:noFill/>
          </a:ln>
          <a:effectLst/>
        </c:spPr>
      </c:pivotFmt>
      <c:pivotFmt>
        <c:idx val="22"/>
        <c:spPr>
          <a:solidFill>
            <a:srgbClr val="C4C3D0"/>
          </a:solidFill>
          <a:ln>
            <a:noFill/>
          </a:ln>
          <a:effectLst/>
        </c:spPr>
      </c:pivotFmt>
    </c:pivotFmts>
    <c:plotArea>
      <c:layout/>
      <c:barChart>
        <c:barDir val="col"/>
        <c:grouping val="clustered"/>
        <c:varyColors val="0"/>
        <c:ser>
          <c:idx val="0"/>
          <c:order val="0"/>
          <c:tx>
            <c:strRef>
              <c:f>Calculation!$I$27:$I$28</c:f>
              <c:strCache>
                <c:ptCount val="1"/>
                <c:pt idx="0">
                  <c:v>High</c:v>
                </c:pt>
              </c:strCache>
            </c:strRef>
          </c:tx>
          <c:spPr>
            <a:solidFill>
              <a:srgbClr val="C4C3D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Calculation!$H$29:$H$32</c:f>
              <c:strCache>
                <c:ptCount val="4"/>
                <c:pt idx="0">
                  <c:v>Boomers</c:v>
                </c:pt>
                <c:pt idx="1">
                  <c:v>Gen X</c:v>
                </c:pt>
                <c:pt idx="2">
                  <c:v>Gen Z</c:v>
                </c:pt>
                <c:pt idx="3">
                  <c:v>Millennials</c:v>
                </c:pt>
              </c:strCache>
            </c:strRef>
          </c:cat>
          <c:val>
            <c:numRef>
              <c:f>Calculation!$I$29:$I$32</c:f>
              <c:numCache>
                <c:formatCode>\$#,##0.00;\(\$#,##0.00\);\$#,##0.00</c:formatCode>
                <c:ptCount val="4"/>
                <c:pt idx="0">
                  <c:v>135990.21428571429</c:v>
                </c:pt>
                <c:pt idx="1">
                  <c:v>137013.84848484848</c:v>
                </c:pt>
                <c:pt idx="2">
                  <c:v>140518.40909090909</c:v>
                </c:pt>
                <c:pt idx="3">
                  <c:v>127779.17647058824</c:v>
                </c:pt>
              </c:numCache>
            </c:numRef>
          </c:val>
          <c:extLst>
            <c:ext xmlns:c16="http://schemas.microsoft.com/office/drawing/2014/chart" uri="{C3380CC4-5D6E-409C-BE32-E72D297353CC}">
              <c16:uniqueId val="{00000000-2530-4C80-B5B0-E12BC5CD72FA}"/>
            </c:ext>
          </c:extLst>
        </c:ser>
        <c:ser>
          <c:idx val="1"/>
          <c:order val="1"/>
          <c:tx>
            <c:strRef>
              <c:f>Calculation!$J$27:$J$28</c:f>
              <c:strCache>
                <c:ptCount val="1"/>
                <c:pt idx="0">
                  <c:v>Low</c:v>
                </c:pt>
              </c:strCache>
            </c:strRef>
          </c:tx>
          <c:spPr>
            <a:solidFill>
              <a:srgbClr val="69678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Calculation!$H$29:$H$32</c:f>
              <c:strCache>
                <c:ptCount val="4"/>
                <c:pt idx="0">
                  <c:v>Boomers</c:v>
                </c:pt>
                <c:pt idx="1">
                  <c:v>Gen X</c:v>
                </c:pt>
                <c:pt idx="2">
                  <c:v>Gen Z</c:v>
                </c:pt>
                <c:pt idx="3">
                  <c:v>Millennials</c:v>
                </c:pt>
              </c:strCache>
            </c:strRef>
          </c:cat>
          <c:val>
            <c:numRef>
              <c:f>Calculation!$J$29:$J$32</c:f>
              <c:numCache>
                <c:formatCode>\$#,##0.00;\(\$#,##0.00\);\$#,##0.00</c:formatCode>
                <c:ptCount val="4"/>
                <c:pt idx="0">
                  <c:v>44043.1</c:v>
                </c:pt>
                <c:pt idx="1">
                  <c:v>45124.909090909088</c:v>
                </c:pt>
                <c:pt idx="2">
                  <c:v>44506.7</c:v>
                </c:pt>
                <c:pt idx="3">
                  <c:v>41491.945945945947</c:v>
                </c:pt>
              </c:numCache>
            </c:numRef>
          </c:val>
          <c:extLst>
            <c:ext xmlns:c16="http://schemas.microsoft.com/office/drawing/2014/chart" uri="{C3380CC4-5D6E-409C-BE32-E72D297353CC}">
              <c16:uniqueId val="{00000001-2530-4C80-B5B0-E12BC5CD72FA}"/>
            </c:ext>
          </c:extLst>
        </c:ser>
        <c:ser>
          <c:idx val="2"/>
          <c:order val="2"/>
          <c:tx>
            <c:strRef>
              <c:f>Calculation!$K$27:$K$28</c:f>
              <c:strCache>
                <c:ptCount val="1"/>
                <c:pt idx="0">
                  <c:v>Medium</c:v>
                </c:pt>
              </c:strCache>
            </c:strRef>
          </c:tx>
          <c:spPr>
            <a:solidFill>
              <a:srgbClr val="8C3C4F"/>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Calculation!$H$29:$H$32</c:f>
              <c:strCache>
                <c:ptCount val="4"/>
                <c:pt idx="0">
                  <c:v>Boomers</c:v>
                </c:pt>
                <c:pt idx="1">
                  <c:v>Gen X</c:v>
                </c:pt>
                <c:pt idx="2">
                  <c:v>Gen Z</c:v>
                </c:pt>
                <c:pt idx="3">
                  <c:v>Millennials</c:v>
                </c:pt>
              </c:strCache>
            </c:strRef>
          </c:cat>
          <c:val>
            <c:numRef>
              <c:f>Calculation!$K$29:$K$32</c:f>
              <c:numCache>
                <c:formatCode>\$#,##0.00;\(\$#,##0.00\);\$#,##0.00</c:formatCode>
                <c:ptCount val="4"/>
                <c:pt idx="0">
                  <c:v>90744.604651162794</c:v>
                </c:pt>
                <c:pt idx="1">
                  <c:v>85061.6</c:v>
                </c:pt>
                <c:pt idx="2">
                  <c:v>89903.923076923078</c:v>
                </c:pt>
                <c:pt idx="3">
                  <c:v>89696.580645161288</c:v>
                </c:pt>
              </c:numCache>
            </c:numRef>
          </c:val>
          <c:extLst>
            <c:ext xmlns:c16="http://schemas.microsoft.com/office/drawing/2014/chart" uri="{C3380CC4-5D6E-409C-BE32-E72D297353CC}">
              <c16:uniqueId val="{00000002-2530-4C80-B5B0-E12BC5CD72FA}"/>
            </c:ext>
          </c:extLst>
        </c:ser>
        <c:ser>
          <c:idx val="3"/>
          <c:order val="3"/>
          <c:tx>
            <c:strRef>
              <c:f>Calculation!$L$27:$L$28</c:f>
              <c:strCache>
                <c:ptCount val="1"/>
                <c:pt idx="0">
                  <c:v>Premium</c:v>
                </c:pt>
              </c:strCache>
            </c:strRef>
          </c:tx>
          <c:spPr>
            <a:solidFill>
              <a:srgbClr val="50222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Calculation!$H$29:$H$32</c:f>
              <c:strCache>
                <c:ptCount val="4"/>
                <c:pt idx="0">
                  <c:v>Boomers</c:v>
                </c:pt>
                <c:pt idx="1">
                  <c:v>Gen X</c:v>
                </c:pt>
                <c:pt idx="2">
                  <c:v>Gen Z</c:v>
                </c:pt>
                <c:pt idx="3">
                  <c:v>Millennials</c:v>
                </c:pt>
              </c:strCache>
            </c:strRef>
          </c:cat>
          <c:val>
            <c:numRef>
              <c:f>Calculation!$L$29:$L$32</c:f>
              <c:numCache>
                <c:formatCode>\$#,##0.00;\(\$#,##0.00\);\$#,##0.00</c:formatCode>
                <c:ptCount val="4"/>
                <c:pt idx="0">
                  <c:v>177311.54285714286</c:v>
                </c:pt>
                <c:pt idx="1">
                  <c:v>176526.25</c:v>
                </c:pt>
                <c:pt idx="2">
                  <c:v>181283.72222222222</c:v>
                </c:pt>
                <c:pt idx="3">
                  <c:v>180259.55555555556</c:v>
                </c:pt>
              </c:numCache>
            </c:numRef>
          </c:val>
          <c:extLst>
            <c:ext xmlns:c16="http://schemas.microsoft.com/office/drawing/2014/chart" uri="{C3380CC4-5D6E-409C-BE32-E72D297353CC}">
              <c16:uniqueId val="{00000003-2530-4C80-B5B0-E12BC5CD72FA}"/>
            </c:ext>
          </c:extLst>
        </c:ser>
        <c:dLbls>
          <c:dLblPos val="inEnd"/>
          <c:showLegendKey val="0"/>
          <c:showVal val="1"/>
          <c:showCatName val="0"/>
          <c:showSerName val="0"/>
          <c:showPercent val="0"/>
          <c:showBubbleSize val="0"/>
        </c:dLbls>
        <c:gapWidth val="150"/>
        <c:axId val="617791744"/>
        <c:axId val="617811904"/>
      </c:barChart>
      <c:catAx>
        <c:axId val="6177917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811904"/>
        <c:crosses val="autoZero"/>
        <c:auto val="1"/>
        <c:lblAlgn val="ctr"/>
        <c:lblOffset val="100"/>
        <c:noMultiLvlLbl val="0"/>
      </c:catAx>
      <c:valAx>
        <c:axId val="617811904"/>
        <c:scaling>
          <c:orientation val="minMax"/>
        </c:scaling>
        <c:delete val="1"/>
        <c:axPos val="l"/>
        <c:numFmt formatCode="\$#,##0.00;\(\$#,##0.00\);\$#,##0.00" sourceLinked="1"/>
        <c:majorTickMark val="none"/>
        <c:minorTickMark val="none"/>
        <c:tickLblPos val="nextTo"/>
        <c:crossAx val="61779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[mb.xlsx]Calculation!PivotTable4</c:name>
    <c:fmtId val="9"/>
  </c:pivotSource>
  <c:chart>
    <c:autoTitleDeleted val="0"/>
    <c:pivotFmts>
      <c:pivotFmt>
        <c:idx val="0"/>
        <c:spPr>
          <a:solidFill>
            <a:srgbClr val="C4C3D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C3C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4C3D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8C3C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4C3D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8C3C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4C3D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8C3C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4C3D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8C3C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4C3D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8C3C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8C3C4F"/>
            </a:solidFill>
            <a:round/>
          </a:ln>
          <a:effectLst/>
        </c:spPr>
        <c:marker>
          <c:symbol val="none"/>
        </c:marker>
        <c:dLbl>
          <c:idx val="0"/>
          <c:layout>
            <c:manualLayout>
              <c:x val="-8.0942595001750203E-2"/>
              <c:y val="0.1456221620877860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Calculation!$C$12</c:f>
              <c:strCache>
                <c:ptCount val="1"/>
                <c:pt idx="0">
                  <c:v>TOTAL CUSTOMERS</c:v>
                </c:pt>
              </c:strCache>
            </c:strRef>
          </c:tx>
          <c:spPr>
            <a:solidFill>
              <a:srgbClr val="C4C3D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Calculation!$B$13:$B$15</c:f>
              <c:strCache>
                <c:ptCount val="3"/>
                <c:pt idx="0">
                  <c:v>Corporate</c:v>
                </c:pt>
                <c:pt idx="1">
                  <c:v>Private</c:v>
                </c:pt>
                <c:pt idx="2">
                  <c:v>Retail</c:v>
                </c:pt>
              </c:strCache>
            </c:strRef>
          </c:cat>
          <c:val>
            <c:numRef>
              <c:f>Calculation!$C$13:$C$15</c:f>
              <c:numCache>
                <c:formatCode>General</c:formatCode>
                <c:ptCount val="3"/>
                <c:pt idx="0">
                  <c:v>169</c:v>
                </c:pt>
                <c:pt idx="1">
                  <c:v>45</c:v>
                </c:pt>
                <c:pt idx="2">
                  <c:v>286</c:v>
                </c:pt>
              </c:numCache>
            </c:numRef>
          </c:val>
          <c:extLst>
            <c:ext xmlns:c16="http://schemas.microsoft.com/office/drawing/2014/chart" uri="{C3380CC4-5D6E-409C-BE32-E72D297353CC}">
              <c16:uniqueId val="{00000000-F13E-4A66-85A0-3E3DB1FAB03C}"/>
            </c:ext>
          </c:extLst>
        </c:ser>
        <c:dLbls>
          <c:showLegendKey val="0"/>
          <c:showVal val="0"/>
          <c:showCatName val="0"/>
          <c:showSerName val="0"/>
          <c:showPercent val="0"/>
          <c:showBubbleSize val="0"/>
        </c:dLbls>
        <c:gapWidth val="219"/>
        <c:overlap val="-27"/>
        <c:axId val="617797984"/>
        <c:axId val="617804224"/>
      </c:barChart>
      <c:lineChart>
        <c:grouping val="standard"/>
        <c:varyColors val="0"/>
        <c:ser>
          <c:idx val="1"/>
          <c:order val="1"/>
          <c:tx>
            <c:strRef>
              <c:f>Calculation!$D$12</c:f>
              <c:strCache>
                <c:ptCount val="1"/>
                <c:pt idx="0">
                  <c:v>AVERAGE INCOME</c:v>
                </c:pt>
              </c:strCache>
            </c:strRef>
          </c:tx>
          <c:spPr>
            <a:ln w="28575" cap="rnd">
              <a:solidFill>
                <a:srgbClr val="8C3C4F"/>
              </a:solidFill>
              <a:round/>
            </a:ln>
            <a:effectLst/>
          </c:spPr>
          <c:marker>
            <c:symbol val="none"/>
          </c:marker>
          <c:dLbls>
            <c:dLbl>
              <c:idx val="1"/>
              <c:layout>
                <c:manualLayout>
                  <c:x val="-8.0942595001750203E-2"/>
                  <c:y val="0.145622162087786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13E-4A66-85A0-3E3DB1FAB03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Calculation!$B$13:$B$15</c:f>
              <c:strCache>
                <c:ptCount val="3"/>
                <c:pt idx="0">
                  <c:v>Corporate</c:v>
                </c:pt>
                <c:pt idx="1">
                  <c:v>Private</c:v>
                </c:pt>
                <c:pt idx="2">
                  <c:v>Retail</c:v>
                </c:pt>
              </c:strCache>
            </c:strRef>
          </c:cat>
          <c:val>
            <c:numRef>
              <c:f>Calculation!$D$13:$D$15</c:f>
              <c:numCache>
                <c:formatCode>\$#,##0.00;\(\$#,##0.00\);\$#,##0.00</c:formatCode>
                <c:ptCount val="3"/>
                <c:pt idx="0">
                  <c:v>112910.04142011834</c:v>
                </c:pt>
                <c:pt idx="1">
                  <c:v>118774.17777777778</c:v>
                </c:pt>
                <c:pt idx="2">
                  <c:v>114590.12587412588</c:v>
                </c:pt>
              </c:numCache>
            </c:numRef>
          </c:val>
          <c:smooth val="1"/>
          <c:extLst>
            <c:ext xmlns:c16="http://schemas.microsoft.com/office/drawing/2014/chart" uri="{C3380CC4-5D6E-409C-BE32-E72D297353CC}">
              <c16:uniqueId val="{00000001-F13E-4A66-85A0-3E3DB1FAB03C}"/>
            </c:ext>
          </c:extLst>
        </c:ser>
        <c:dLbls>
          <c:showLegendKey val="0"/>
          <c:showVal val="0"/>
          <c:showCatName val="0"/>
          <c:showSerName val="0"/>
          <c:showPercent val="0"/>
          <c:showBubbleSize val="0"/>
        </c:dLbls>
        <c:marker val="1"/>
        <c:smooth val="0"/>
        <c:axId val="617790304"/>
        <c:axId val="617798944"/>
      </c:lineChart>
      <c:catAx>
        <c:axId val="61779798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804224"/>
        <c:crosses val="autoZero"/>
        <c:auto val="1"/>
        <c:lblAlgn val="ctr"/>
        <c:lblOffset val="100"/>
        <c:noMultiLvlLbl val="0"/>
      </c:catAx>
      <c:valAx>
        <c:axId val="617804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bg1"/>
                </a:solidFill>
                <a:latin typeface="+mn-lt"/>
                <a:ea typeface="+mn-ea"/>
                <a:cs typeface="+mn-cs"/>
              </a:defRPr>
            </a:pPr>
            <a:endParaRPr lang="en-US"/>
          </a:p>
        </c:txPr>
        <c:crossAx val="617797984"/>
        <c:crosses val="autoZero"/>
        <c:crossBetween val="between"/>
      </c:valAx>
      <c:valAx>
        <c:axId val="617798944"/>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bg1"/>
                </a:solidFill>
                <a:latin typeface="+mn-lt"/>
                <a:ea typeface="+mn-ea"/>
                <a:cs typeface="+mn-cs"/>
              </a:defRPr>
            </a:pPr>
            <a:endParaRPr lang="en-US"/>
          </a:p>
        </c:txPr>
        <c:crossAx val="617790304"/>
        <c:crosses val="max"/>
        <c:crossBetween val="between"/>
      </c:valAx>
      <c:catAx>
        <c:axId val="617790304"/>
        <c:scaling>
          <c:orientation val="minMax"/>
        </c:scaling>
        <c:delete val="1"/>
        <c:axPos val="b"/>
        <c:numFmt formatCode="General" sourceLinked="1"/>
        <c:majorTickMark val="out"/>
        <c:minorTickMark val="none"/>
        <c:tickLblPos val="nextTo"/>
        <c:crossAx val="617798944"/>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[mb.xlsx]Calculation!PivotTable5</c:name>
    <c:fmtId val="11"/>
  </c:pivotSource>
  <c:chart>
    <c:autoTitleDeleted val="0"/>
    <c:pivotFmts>
      <c:pivotFmt>
        <c:idx val="0"/>
        <c:spPr>
          <a:solidFill>
            <a:srgbClr val="C4C3D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C3C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4C3D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8C3C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4C3D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8C3C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4C3D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8C3C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4C3D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8C3C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4C3D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8C3C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8C3C4F"/>
            </a:solidFill>
            <a:round/>
          </a:ln>
          <a:effectLst/>
        </c:spPr>
        <c:marker>
          <c:symbol val="none"/>
        </c:marker>
        <c:dLbl>
          <c:idx val="0"/>
          <c:layout>
            <c:manualLayout>
              <c:x val="-7.8024665316935637E-2"/>
              <c:y val="-8.46428256041215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8C3C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8C3C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8C3C4F"/>
            </a:solidFill>
            <a:round/>
          </a:ln>
          <a:effectLst/>
        </c:spPr>
        <c:marker>
          <c:symbol val="none"/>
        </c:marker>
        <c:dLbl>
          <c:idx val="0"/>
          <c:layout>
            <c:manualLayout>
              <c:x val="-0.11053494253232533"/>
              <c:y val="0.2186606328106472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Calculation!$C$19</c:f>
              <c:strCache>
                <c:ptCount val="1"/>
                <c:pt idx="0">
                  <c:v>TOTAL CUSTOMERS</c:v>
                </c:pt>
              </c:strCache>
            </c:strRef>
          </c:tx>
          <c:spPr>
            <a:solidFill>
              <a:srgbClr val="C4C3D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Calculation!$B$20:$B$23</c:f>
              <c:strCache>
                <c:ptCount val="4"/>
                <c:pt idx="0">
                  <c:v>Emerging (3-5 Yrs)</c:v>
                </c:pt>
                <c:pt idx="1">
                  <c:v>Established (6-8 Yrs)</c:v>
                </c:pt>
                <c:pt idx="2">
                  <c:v>Loyal (9-10 Yrs)</c:v>
                </c:pt>
                <c:pt idx="3">
                  <c:v>New (0-2 Yrs)</c:v>
                </c:pt>
              </c:strCache>
            </c:strRef>
          </c:cat>
          <c:val>
            <c:numRef>
              <c:f>Calculation!$C$20:$C$23</c:f>
              <c:numCache>
                <c:formatCode>General</c:formatCode>
                <c:ptCount val="4"/>
                <c:pt idx="0">
                  <c:v>146</c:v>
                </c:pt>
                <c:pt idx="1">
                  <c:v>170</c:v>
                </c:pt>
                <c:pt idx="2">
                  <c:v>60</c:v>
                </c:pt>
                <c:pt idx="3">
                  <c:v>124</c:v>
                </c:pt>
              </c:numCache>
            </c:numRef>
          </c:val>
          <c:extLst>
            <c:ext xmlns:c16="http://schemas.microsoft.com/office/drawing/2014/chart" uri="{C3380CC4-5D6E-409C-BE32-E72D297353CC}">
              <c16:uniqueId val="{00000000-B1B7-4B01-B150-08C928B05E1C}"/>
            </c:ext>
          </c:extLst>
        </c:ser>
        <c:dLbls>
          <c:showLegendKey val="0"/>
          <c:showVal val="0"/>
          <c:showCatName val="0"/>
          <c:showSerName val="0"/>
          <c:showPercent val="0"/>
          <c:showBubbleSize val="0"/>
        </c:dLbls>
        <c:gapWidth val="219"/>
        <c:overlap val="-27"/>
        <c:axId val="617797984"/>
        <c:axId val="617804224"/>
      </c:barChart>
      <c:lineChart>
        <c:grouping val="standard"/>
        <c:varyColors val="0"/>
        <c:ser>
          <c:idx val="1"/>
          <c:order val="1"/>
          <c:tx>
            <c:strRef>
              <c:f>Calculation!$D$19</c:f>
              <c:strCache>
                <c:ptCount val="1"/>
                <c:pt idx="0">
                  <c:v>AVERAGE INCOME</c:v>
                </c:pt>
              </c:strCache>
            </c:strRef>
          </c:tx>
          <c:spPr>
            <a:ln w="28575" cap="rnd">
              <a:solidFill>
                <a:srgbClr val="8C3C4F"/>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3-B1B7-4B01-B150-08C928B05E1C}"/>
                </c:ext>
              </c:extLst>
            </c:dLbl>
            <c:dLbl>
              <c:idx val="1"/>
              <c:delete val="1"/>
              <c:extLst>
                <c:ext xmlns:c15="http://schemas.microsoft.com/office/drawing/2012/chart" uri="{CE6537A1-D6FC-4f65-9D91-7224C49458BB}"/>
                <c:ext xmlns:c16="http://schemas.microsoft.com/office/drawing/2014/chart" uri="{C3380CC4-5D6E-409C-BE32-E72D297353CC}">
                  <c16:uniqueId val="{00000005-B1B7-4B01-B150-08C928B05E1C}"/>
                </c:ext>
              </c:extLst>
            </c:dLbl>
            <c:dLbl>
              <c:idx val="2"/>
              <c:delete val="1"/>
              <c:extLst>
                <c:ext xmlns:c15="http://schemas.microsoft.com/office/drawing/2012/chart" uri="{CE6537A1-D6FC-4f65-9D91-7224C49458BB}"/>
                <c:ext xmlns:c16="http://schemas.microsoft.com/office/drawing/2014/chart" uri="{C3380CC4-5D6E-409C-BE32-E72D297353CC}">
                  <c16:uniqueId val="{00000004-B1B7-4B01-B150-08C928B05E1C}"/>
                </c:ext>
              </c:extLst>
            </c:dLbl>
            <c:dLbl>
              <c:idx val="3"/>
              <c:layout>
                <c:manualLayout>
                  <c:x val="-7.8024665316935637E-2"/>
                  <c:y val="-8.46428256041215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1B7-4B01-B150-08C928B05E1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Calculation!$B$20:$B$23</c:f>
              <c:strCache>
                <c:ptCount val="4"/>
                <c:pt idx="0">
                  <c:v>Emerging (3-5 Yrs)</c:v>
                </c:pt>
                <c:pt idx="1">
                  <c:v>Established (6-8 Yrs)</c:v>
                </c:pt>
                <c:pt idx="2">
                  <c:v>Loyal (9-10 Yrs)</c:v>
                </c:pt>
                <c:pt idx="3">
                  <c:v>New (0-2 Yrs)</c:v>
                </c:pt>
              </c:strCache>
            </c:strRef>
          </c:cat>
          <c:val>
            <c:numRef>
              <c:f>Calculation!$D$20:$D$23</c:f>
              <c:numCache>
                <c:formatCode>\$#,##0.00;\(\$#,##0.00\);\$#,##0.00</c:formatCode>
                <c:ptCount val="4"/>
                <c:pt idx="0">
                  <c:v>114148.36986301369</c:v>
                </c:pt>
                <c:pt idx="1">
                  <c:v>114372.0294117647</c:v>
                </c:pt>
                <c:pt idx="2">
                  <c:v>103390</c:v>
                </c:pt>
                <c:pt idx="3">
                  <c:v>120057.29032258065</c:v>
                </c:pt>
              </c:numCache>
            </c:numRef>
          </c:val>
          <c:smooth val="1"/>
          <c:extLst>
            <c:ext xmlns:c16="http://schemas.microsoft.com/office/drawing/2014/chart" uri="{C3380CC4-5D6E-409C-BE32-E72D297353CC}">
              <c16:uniqueId val="{00000001-B1B7-4B01-B150-08C928B05E1C}"/>
            </c:ext>
          </c:extLst>
        </c:ser>
        <c:dLbls>
          <c:showLegendKey val="0"/>
          <c:showVal val="0"/>
          <c:showCatName val="0"/>
          <c:showSerName val="0"/>
          <c:showPercent val="0"/>
          <c:showBubbleSize val="0"/>
        </c:dLbls>
        <c:marker val="1"/>
        <c:smooth val="0"/>
        <c:axId val="617790304"/>
        <c:axId val="617798944"/>
      </c:lineChart>
      <c:catAx>
        <c:axId val="61779798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804224"/>
        <c:crosses val="autoZero"/>
        <c:auto val="1"/>
        <c:lblAlgn val="ctr"/>
        <c:lblOffset val="100"/>
        <c:noMultiLvlLbl val="0"/>
      </c:catAx>
      <c:valAx>
        <c:axId val="617804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bg1"/>
                </a:solidFill>
                <a:latin typeface="+mn-lt"/>
                <a:ea typeface="+mn-ea"/>
                <a:cs typeface="+mn-cs"/>
              </a:defRPr>
            </a:pPr>
            <a:endParaRPr lang="en-US"/>
          </a:p>
        </c:txPr>
        <c:crossAx val="617797984"/>
        <c:crosses val="autoZero"/>
        <c:crossBetween val="between"/>
      </c:valAx>
      <c:valAx>
        <c:axId val="617798944"/>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bg1"/>
                </a:solidFill>
                <a:latin typeface="+mn-lt"/>
                <a:ea typeface="+mn-ea"/>
                <a:cs typeface="+mn-cs"/>
              </a:defRPr>
            </a:pPr>
            <a:endParaRPr lang="en-US"/>
          </a:p>
        </c:txPr>
        <c:crossAx val="617790304"/>
        <c:crosses val="max"/>
        <c:crossBetween val="between"/>
      </c:valAx>
      <c:catAx>
        <c:axId val="617790304"/>
        <c:scaling>
          <c:orientation val="minMax"/>
        </c:scaling>
        <c:delete val="1"/>
        <c:axPos val="b"/>
        <c:numFmt formatCode="General" sourceLinked="1"/>
        <c:majorTickMark val="out"/>
        <c:minorTickMark val="none"/>
        <c:tickLblPos val="nextTo"/>
        <c:crossAx val="617798944"/>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7.xml"/><Relationship Id="rId5" Type="http://schemas.openxmlformats.org/officeDocument/2006/relationships/chart" Target="../charts/chart5.xml"/><Relationship Id="rId10" Type="http://schemas.openxmlformats.org/officeDocument/2006/relationships/chart" Target="../charts/chart6.xml"/><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xdr:col>
      <xdr:colOff>587963</xdr:colOff>
      <xdr:row>3</xdr:row>
      <xdr:rowOff>35277</xdr:rowOff>
    </xdr:from>
    <xdr:to>
      <xdr:col>20</xdr:col>
      <xdr:colOff>462698</xdr:colOff>
      <xdr:row>35</xdr:row>
      <xdr:rowOff>162535</xdr:rowOff>
    </xdr:to>
    <xdr:grpSp>
      <xdr:nvGrpSpPr>
        <xdr:cNvPr id="2" name="Group 1">
          <a:extLst>
            <a:ext uri="{FF2B5EF4-FFF2-40B4-BE49-F238E27FC236}">
              <a16:creationId xmlns:a16="http://schemas.microsoft.com/office/drawing/2014/main" id="{F6B3FFC0-44B7-BC5C-E956-BE9EA48215F2}"/>
            </a:ext>
          </a:extLst>
        </xdr:cNvPr>
        <xdr:cNvGrpSpPr/>
      </xdr:nvGrpSpPr>
      <xdr:grpSpPr>
        <a:xfrm>
          <a:off x="1809735" y="589897"/>
          <a:ext cx="10870685" cy="6043208"/>
          <a:chOff x="611425" y="336735"/>
          <a:chExt cx="10818573" cy="5932972"/>
        </a:xfrm>
      </xdr:grpSpPr>
      <xdr:sp macro="" textlink="">
        <xdr:nvSpPr>
          <xdr:cNvPr id="3" name="Rectangle: Top Corners Rounded 2">
            <a:extLst>
              <a:ext uri="{FF2B5EF4-FFF2-40B4-BE49-F238E27FC236}">
                <a16:creationId xmlns:a16="http://schemas.microsoft.com/office/drawing/2014/main" id="{A29D0AAF-B5CA-D670-67A7-926F2DACF027}"/>
              </a:ext>
            </a:extLst>
          </xdr:cNvPr>
          <xdr:cNvSpPr/>
        </xdr:nvSpPr>
        <xdr:spPr>
          <a:xfrm rot="16200000" flipV="1">
            <a:off x="3501218" y="-1659076"/>
            <a:ext cx="5932969" cy="9924591"/>
          </a:xfrm>
          <a:prstGeom prst="round2SameRect">
            <a:avLst>
              <a:gd name="adj1" fmla="val 2758"/>
              <a:gd name="adj2" fmla="val 0"/>
            </a:avLst>
          </a:prstGeom>
          <a:solidFill>
            <a:srgbClr val="FFE5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 name="Rectangle: Top Corners Rounded 3">
            <a:extLst>
              <a:ext uri="{FF2B5EF4-FFF2-40B4-BE49-F238E27FC236}">
                <a16:creationId xmlns:a16="http://schemas.microsoft.com/office/drawing/2014/main" id="{A521C86D-0F99-B508-1C2B-8AAF77E63546}"/>
              </a:ext>
            </a:extLst>
          </xdr:cNvPr>
          <xdr:cNvSpPr/>
        </xdr:nvSpPr>
        <xdr:spPr>
          <a:xfrm rot="16200000">
            <a:off x="-1958996" y="2907162"/>
            <a:ext cx="5932967" cy="792124"/>
          </a:xfrm>
          <a:prstGeom prst="round2SameRect">
            <a:avLst>
              <a:gd name="adj1" fmla="val 32550"/>
              <a:gd name="adj2" fmla="val 0"/>
            </a:avLst>
          </a:prstGeom>
          <a:solidFill>
            <a:srgbClr val="FFE5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 name="Rectangle: Rounded Corners 4">
            <a:extLst>
              <a:ext uri="{FF2B5EF4-FFF2-40B4-BE49-F238E27FC236}">
                <a16:creationId xmlns:a16="http://schemas.microsoft.com/office/drawing/2014/main" id="{C12AB5E0-F186-7557-1F2F-5A6B7B740900}"/>
              </a:ext>
            </a:extLst>
          </xdr:cNvPr>
          <xdr:cNvSpPr/>
        </xdr:nvSpPr>
        <xdr:spPr>
          <a:xfrm>
            <a:off x="1634790" y="853854"/>
            <a:ext cx="2649093" cy="2240439"/>
          </a:xfrm>
          <a:prstGeom prst="roundRect">
            <a:avLst>
              <a:gd name="adj" fmla="val 5837"/>
            </a:avLst>
          </a:prstGeom>
          <a:solidFill>
            <a:srgbClr val="FCD8B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 name="Rectangle: Rounded Corners 5">
            <a:extLst>
              <a:ext uri="{FF2B5EF4-FFF2-40B4-BE49-F238E27FC236}">
                <a16:creationId xmlns:a16="http://schemas.microsoft.com/office/drawing/2014/main" id="{B5A332F9-7717-FED5-91DB-DFD9F81C512B}"/>
              </a:ext>
            </a:extLst>
          </xdr:cNvPr>
          <xdr:cNvSpPr/>
        </xdr:nvSpPr>
        <xdr:spPr>
          <a:xfrm>
            <a:off x="4367852" y="455687"/>
            <a:ext cx="1946849" cy="1140674"/>
          </a:xfrm>
          <a:prstGeom prst="roundRect">
            <a:avLst>
              <a:gd name="adj" fmla="val 5837"/>
            </a:avLst>
          </a:prstGeom>
          <a:solidFill>
            <a:srgbClr val="FCD8B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 name="Rectangle: Rounded Corners 6">
            <a:extLst>
              <a:ext uri="{FF2B5EF4-FFF2-40B4-BE49-F238E27FC236}">
                <a16:creationId xmlns:a16="http://schemas.microsoft.com/office/drawing/2014/main" id="{93FCCA32-D86C-C482-EBAA-FF60AE7C9137}"/>
              </a:ext>
            </a:extLst>
          </xdr:cNvPr>
          <xdr:cNvSpPr/>
        </xdr:nvSpPr>
        <xdr:spPr>
          <a:xfrm>
            <a:off x="6398670" y="455688"/>
            <a:ext cx="1946849" cy="1140673"/>
          </a:xfrm>
          <a:prstGeom prst="roundRect">
            <a:avLst>
              <a:gd name="adj" fmla="val 5837"/>
            </a:avLst>
          </a:prstGeom>
          <a:solidFill>
            <a:srgbClr val="FCD8B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8" name="Rectangle: Rounded Corners 7">
            <a:extLst>
              <a:ext uri="{FF2B5EF4-FFF2-40B4-BE49-F238E27FC236}">
                <a16:creationId xmlns:a16="http://schemas.microsoft.com/office/drawing/2014/main" id="{2445DA34-55F9-AFDA-A127-494EBC74CE6F}"/>
              </a:ext>
            </a:extLst>
          </xdr:cNvPr>
          <xdr:cNvSpPr/>
        </xdr:nvSpPr>
        <xdr:spPr>
          <a:xfrm>
            <a:off x="1618296" y="3173730"/>
            <a:ext cx="2665588" cy="3030642"/>
          </a:xfrm>
          <a:prstGeom prst="roundRect">
            <a:avLst>
              <a:gd name="adj" fmla="val 5837"/>
            </a:avLst>
          </a:prstGeom>
          <a:solidFill>
            <a:srgbClr val="C1997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9" name="Rectangle: Rounded Corners 8">
            <a:extLst>
              <a:ext uri="{FF2B5EF4-FFF2-40B4-BE49-F238E27FC236}">
                <a16:creationId xmlns:a16="http://schemas.microsoft.com/office/drawing/2014/main" id="{F758D2E7-7332-C694-54E0-33F05BD009D9}"/>
              </a:ext>
            </a:extLst>
          </xdr:cNvPr>
          <xdr:cNvSpPr/>
        </xdr:nvSpPr>
        <xdr:spPr>
          <a:xfrm>
            <a:off x="4367852" y="1690154"/>
            <a:ext cx="3977667" cy="2224441"/>
          </a:xfrm>
          <a:prstGeom prst="roundRect">
            <a:avLst>
              <a:gd name="adj" fmla="val 5837"/>
            </a:avLst>
          </a:prstGeom>
          <a:solidFill>
            <a:srgbClr val="C1997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0" name="Rectangle: Rounded Corners 9">
            <a:extLst>
              <a:ext uri="{FF2B5EF4-FFF2-40B4-BE49-F238E27FC236}">
                <a16:creationId xmlns:a16="http://schemas.microsoft.com/office/drawing/2014/main" id="{AB470705-BE5C-036F-BA3B-B933F75DB00D}"/>
              </a:ext>
            </a:extLst>
          </xdr:cNvPr>
          <xdr:cNvSpPr/>
        </xdr:nvSpPr>
        <xdr:spPr>
          <a:xfrm>
            <a:off x="8429488" y="455687"/>
            <a:ext cx="2883010" cy="5748683"/>
          </a:xfrm>
          <a:prstGeom prst="roundRect">
            <a:avLst>
              <a:gd name="adj" fmla="val 5837"/>
            </a:avLst>
          </a:prstGeom>
          <a:solidFill>
            <a:srgbClr val="C1997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1" name="Rectangle: Rounded Corners 10">
            <a:extLst>
              <a:ext uri="{FF2B5EF4-FFF2-40B4-BE49-F238E27FC236}">
                <a16:creationId xmlns:a16="http://schemas.microsoft.com/office/drawing/2014/main" id="{CE7771AF-2035-A935-F443-687A77D05F86}"/>
              </a:ext>
            </a:extLst>
          </xdr:cNvPr>
          <xdr:cNvSpPr/>
        </xdr:nvSpPr>
        <xdr:spPr>
          <a:xfrm>
            <a:off x="4367852" y="3979931"/>
            <a:ext cx="3977667" cy="2224441"/>
          </a:xfrm>
          <a:prstGeom prst="roundRect">
            <a:avLst>
              <a:gd name="adj" fmla="val 5837"/>
            </a:avLst>
          </a:prstGeom>
          <a:solidFill>
            <a:srgbClr val="C1997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xnSp macro="">
        <xdr:nvCxnSpPr>
          <xdr:cNvPr id="12" name="Straight Connector 11">
            <a:extLst>
              <a:ext uri="{FF2B5EF4-FFF2-40B4-BE49-F238E27FC236}">
                <a16:creationId xmlns:a16="http://schemas.microsoft.com/office/drawing/2014/main" id="{037A79B2-F1C9-1A7E-7CA2-826E9DC6A18D}"/>
              </a:ext>
            </a:extLst>
          </xdr:cNvPr>
          <xdr:cNvCxnSpPr/>
        </xdr:nvCxnSpPr>
        <xdr:spPr>
          <a:xfrm>
            <a:off x="611425" y="1054439"/>
            <a:ext cx="792125" cy="0"/>
          </a:xfrm>
          <a:prstGeom prst="line">
            <a:avLst/>
          </a:prstGeom>
          <a:ln w="12700">
            <a:solidFill>
              <a:srgbClr val="C19976"/>
            </a:solidFill>
          </a:ln>
        </xdr:spPr>
        <xdr:style>
          <a:lnRef idx="2">
            <a:schemeClr val="accent1"/>
          </a:lnRef>
          <a:fillRef idx="0">
            <a:schemeClr val="accent1"/>
          </a:fillRef>
          <a:effectRef idx="1">
            <a:schemeClr val="accent1"/>
          </a:effectRef>
          <a:fontRef idx="minor">
            <a:schemeClr val="tx1"/>
          </a:fontRef>
        </xdr:style>
      </xdr:cxnSp>
      <xdr:sp macro="" textlink="">
        <xdr:nvSpPr>
          <xdr:cNvPr id="14" name="TextBox 35">
            <a:extLst>
              <a:ext uri="{FF2B5EF4-FFF2-40B4-BE49-F238E27FC236}">
                <a16:creationId xmlns:a16="http://schemas.microsoft.com/office/drawing/2014/main" id="{D0C7284E-C74C-31CC-0EFA-684573CF4102}"/>
              </a:ext>
            </a:extLst>
          </xdr:cNvPr>
          <xdr:cNvSpPr txBox="1"/>
        </xdr:nvSpPr>
        <xdr:spPr>
          <a:xfrm>
            <a:off x="1716871" y="860239"/>
            <a:ext cx="2000949" cy="30060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solidFill>
                  <a:schemeClr val="bg2">
                    <a:lumMod val="25000"/>
                  </a:schemeClr>
                </a:solidFill>
              </a:rPr>
              <a:t>Regional Distribution</a:t>
            </a:r>
          </a:p>
        </xdr:txBody>
      </xdr:sp>
      <xdr:sp macro="" textlink="">
        <xdr:nvSpPr>
          <xdr:cNvPr id="15" name="TextBox 36">
            <a:extLst>
              <a:ext uri="{FF2B5EF4-FFF2-40B4-BE49-F238E27FC236}">
                <a16:creationId xmlns:a16="http://schemas.microsoft.com/office/drawing/2014/main" id="{F0934CF7-87AB-5F0C-4723-CFD4BC18E55F}"/>
              </a:ext>
            </a:extLst>
          </xdr:cNvPr>
          <xdr:cNvSpPr txBox="1"/>
        </xdr:nvSpPr>
        <xdr:spPr>
          <a:xfrm>
            <a:off x="4431153" y="565341"/>
            <a:ext cx="1850583" cy="30060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solidFill>
                  <a:schemeClr val="bg2">
                    <a:lumMod val="25000"/>
                  </a:schemeClr>
                </a:solidFill>
              </a:rPr>
              <a:t>Total Customers</a:t>
            </a:r>
          </a:p>
        </xdr:txBody>
      </xdr:sp>
      <xdr:sp macro="" textlink="">
        <xdr:nvSpPr>
          <xdr:cNvPr id="16" name="TextBox 37">
            <a:extLst>
              <a:ext uri="{FF2B5EF4-FFF2-40B4-BE49-F238E27FC236}">
                <a16:creationId xmlns:a16="http://schemas.microsoft.com/office/drawing/2014/main" id="{9C614BA2-3508-02B3-113D-BCD3A7D338A9}"/>
              </a:ext>
            </a:extLst>
          </xdr:cNvPr>
          <xdr:cNvSpPr txBox="1"/>
        </xdr:nvSpPr>
        <xdr:spPr>
          <a:xfrm>
            <a:off x="6458241" y="542302"/>
            <a:ext cx="1822719" cy="30060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solidFill>
                  <a:schemeClr val="bg2">
                    <a:lumMod val="25000"/>
                  </a:schemeClr>
                </a:solidFill>
              </a:rPr>
              <a:t>Avgerage</a:t>
            </a:r>
            <a:r>
              <a:rPr lang="en-US" sz="1400" baseline="0">
                <a:solidFill>
                  <a:schemeClr val="bg2">
                    <a:lumMod val="25000"/>
                  </a:schemeClr>
                </a:solidFill>
              </a:rPr>
              <a:t> Income</a:t>
            </a:r>
            <a:endParaRPr lang="en-US" sz="1400">
              <a:solidFill>
                <a:schemeClr val="bg2">
                  <a:lumMod val="25000"/>
                </a:schemeClr>
              </a:solidFill>
            </a:endParaRPr>
          </a:p>
        </xdr:txBody>
      </xdr:sp>
      <xdr:sp macro="" textlink="">
        <xdr:nvSpPr>
          <xdr:cNvPr id="17" name="TextBox 42">
            <a:extLst>
              <a:ext uri="{FF2B5EF4-FFF2-40B4-BE49-F238E27FC236}">
                <a16:creationId xmlns:a16="http://schemas.microsoft.com/office/drawing/2014/main" id="{2260FAED-E35B-2F5E-4B2F-2BDEC10D60AD}"/>
              </a:ext>
            </a:extLst>
          </xdr:cNvPr>
          <xdr:cNvSpPr txBox="1"/>
        </xdr:nvSpPr>
        <xdr:spPr>
          <a:xfrm>
            <a:off x="1720377" y="3226925"/>
            <a:ext cx="2164630" cy="34398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solidFill>
                  <a:schemeClr val="bg2">
                    <a:lumMod val="25000"/>
                  </a:schemeClr>
                </a:solidFill>
              </a:rPr>
              <a:t>Gender Distribution</a:t>
            </a:r>
          </a:p>
        </xdr:txBody>
      </xdr:sp>
      <xdr:sp macro="" textlink="">
        <xdr:nvSpPr>
          <xdr:cNvPr id="18" name="TextBox 43">
            <a:extLst>
              <a:ext uri="{FF2B5EF4-FFF2-40B4-BE49-F238E27FC236}">
                <a16:creationId xmlns:a16="http://schemas.microsoft.com/office/drawing/2014/main" id="{9BE74E14-9EA4-D3A2-8978-0A45061F783D}"/>
              </a:ext>
            </a:extLst>
          </xdr:cNvPr>
          <xdr:cNvSpPr txBox="1"/>
        </xdr:nvSpPr>
        <xdr:spPr>
          <a:xfrm>
            <a:off x="4434605" y="1753478"/>
            <a:ext cx="2723982" cy="30060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solidFill>
                  <a:schemeClr val="bg2">
                    <a:lumMod val="25000"/>
                  </a:schemeClr>
                </a:solidFill>
              </a:rPr>
              <a:t>Tenure Average Finance</a:t>
            </a:r>
          </a:p>
        </xdr:txBody>
      </xdr:sp>
      <xdr:sp macro="" textlink="">
        <xdr:nvSpPr>
          <xdr:cNvPr id="19" name="TextBox 44">
            <a:extLst>
              <a:ext uri="{FF2B5EF4-FFF2-40B4-BE49-F238E27FC236}">
                <a16:creationId xmlns:a16="http://schemas.microsoft.com/office/drawing/2014/main" id="{F7E25260-E1FA-6D67-1243-72FACCA5C2DD}"/>
              </a:ext>
            </a:extLst>
          </xdr:cNvPr>
          <xdr:cNvSpPr txBox="1"/>
        </xdr:nvSpPr>
        <xdr:spPr>
          <a:xfrm>
            <a:off x="4450275" y="4128859"/>
            <a:ext cx="2279095" cy="30581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solidFill>
                  <a:schemeClr val="bg2">
                    <a:lumMod val="25000"/>
                  </a:schemeClr>
                </a:solidFill>
              </a:rPr>
              <a:t>Segment: Scale vs. Value</a:t>
            </a:r>
          </a:p>
        </xdr:txBody>
      </xdr:sp>
    </xdr:grpSp>
    <xdr:clientData/>
  </xdr:twoCellAnchor>
  <xdr:twoCellAnchor>
    <xdr:from>
      <xdr:col>4</xdr:col>
      <xdr:colOff>419341</xdr:colOff>
      <xdr:row>20</xdr:row>
      <xdr:rowOff>95848</xdr:rowOff>
    </xdr:from>
    <xdr:to>
      <xdr:col>9</xdr:col>
      <xdr:colOff>11982</xdr:colOff>
      <xdr:row>34</xdr:row>
      <xdr:rowOff>92374</xdr:rowOff>
    </xdr:to>
    <xdr:graphicFrame macro="">
      <xdr:nvGraphicFramePr>
        <xdr:cNvPr id="21" name="Chart 20">
          <a:extLst>
            <a:ext uri="{FF2B5EF4-FFF2-40B4-BE49-F238E27FC236}">
              <a16:creationId xmlns:a16="http://schemas.microsoft.com/office/drawing/2014/main" id="{B90C3E1E-15C9-47FB-958E-43A7A7119B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315946</xdr:colOff>
      <xdr:row>7</xdr:row>
      <xdr:rowOff>99458</xdr:rowOff>
    </xdr:from>
    <xdr:to>
      <xdr:col>9</xdr:col>
      <xdr:colOff>100286</xdr:colOff>
      <xdr:row>18</xdr:row>
      <xdr:rowOff>35241</xdr:rowOff>
    </xdr:to>
    <xdr:graphicFrame macro="">
      <xdr:nvGraphicFramePr>
        <xdr:cNvPr id="23" name="Chart 22">
          <a:extLst>
            <a:ext uri="{FF2B5EF4-FFF2-40B4-BE49-F238E27FC236}">
              <a16:creationId xmlns:a16="http://schemas.microsoft.com/office/drawing/2014/main" id="{BB57F03F-E612-4468-96F1-D5EF7BB34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252014</xdr:colOff>
      <xdr:row>6</xdr:row>
      <xdr:rowOff>23586</xdr:rowOff>
    </xdr:from>
    <xdr:to>
      <xdr:col>12</xdr:col>
      <xdr:colOff>68480</xdr:colOff>
      <xdr:row>8</xdr:row>
      <xdr:rowOff>65935</xdr:rowOff>
    </xdr:to>
    <xdr:sp macro="" textlink="Calculation!B4">
      <xdr:nvSpPr>
        <xdr:cNvPr id="25" name="TextBox 35">
          <a:extLst>
            <a:ext uri="{FF2B5EF4-FFF2-40B4-BE49-F238E27FC236}">
              <a16:creationId xmlns:a16="http://schemas.microsoft.com/office/drawing/2014/main" id="{9ED30955-8CD8-4EC6-ACA5-BCB61F8013D2}"/>
            </a:ext>
          </a:extLst>
        </xdr:cNvPr>
        <xdr:cNvSpPr txBox="1"/>
      </xdr:nvSpPr>
      <xdr:spPr>
        <a:xfrm>
          <a:off x="5755347" y="1152475"/>
          <a:ext cx="1650911" cy="41864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1E1EC45D-AEBE-488D-B8D4-33BC31413EA4}" type="TxLink">
            <a:rPr lang="en-US" sz="2000" b="1" i="0" u="none" strike="noStrike" kern="1200">
              <a:solidFill>
                <a:srgbClr val="000000"/>
              </a:solidFill>
              <a:latin typeface="Aptos Narrow"/>
              <a:ea typeface="+mn-ea"/>
              <a:cs typeface="+mn-cs"/>
            </a:rPr>
            <a:pPr marL="0" indent="0" algn="l" defTabSz="914400" rtl="0" eaLnBrk="1" latinLnBrk="0" hangingPunct="1"/>
            <a:t>500</a:t>
          </a:fld>
          <a:endParaRPr lang="en-US" sz="2000" b="1" i="0" u="none" strike="noStrike" kern="1200">
            <a:solidFill>
              <a:srgbClr val="000000"/>
            </a:solidFill>
            <a:latin typeface="Aptos Narrow"/>
            <a:ea typeface="+mn-ea"/>
            <a:cs typeface="+mn-cs"/>
          </a:endParaRPr>
        </a:p>
      </xdr:txBody>
    </xdr:sp>
    <xdr:clientData/>
  </xdr:twoCellAnchor>
  <xdr:twoCellAnchor>
    <xdr:from>
      <xdr:col>25</xdr:col>
      <xdr:colOff>580302</xdr:colOff>
      <xdr:row>50</xdr:row>
      <xdr:rowOff>104494</xdr:rowOff>
    </xdr:from>
    <xdr:to>
      <xdr:col>32</xdr:col>
      <xdr:colOff>170758</xdr:colOff>
      <xdr:row>60</xdr:row>
      <xdr:rowOff>150958</xdr:rowOff>
    </xdr:to>
    <xdr:graphicFrame macro="">
      <xdr:nvGraphicFramePr>
        <xdr:cNvPr id="26" name="Chart 25">
          <a:extLst>
            <a:ext uri="{FF2B5EF4-FFF2-40B4-BE49-F238E27FC236}">
              <a16:creationId xmlns:a16="http://schemas.microsoft.com/office/drawing/2014/main" id="{BD62539C-5F7A-4B4E-844A-CB372E7F65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561731</xdr:colOff>
      <xdr:row>6</xdr:row>
      <xdr:rowOff>95886</xdr:rowOff>
    </xdr:from>
    <xdr:to>
      <xdr:col>20</xdr:col>
      <xdr:colOff>329712</xdr:colOff>
      <xdr:row>19</xdr:row>
      <xdr:rowOff>94075</xdr:rowOff>
    </xdr:to>
    <xdr:graphicFrame macro="">
      <xdr:nvGraphicFramePr>
        <xdr:cNvPr id="28" name="Chart 27">
          <a:extLst>
            <a:ext uri="{FF2B5EF4-FFF2-40B4-BE49-F238E27FC236}">
              <a16:creationId xmlns:a16="http://schemas.microsoft.com/office/drawing/2014/main" id="{2A5E15BE-49D1-4640-9773-9A4334F9B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584345</xdr:colOff>
      <xdr:row>4</xdr:row>
      <xdr:rowOff>127541</xdr:rowOff>
    </xdr:from>
    <xdr:to>
      <xdr:col>20</xdr:col>
      <xdr:colOff>176389</xdr:colOff>
      <xdr:row>6</xdr:row>
      <xdr:rowOff>70554</xdr:rowOff>
    </xdr:to>
    <xdr:sp macro="" textlink="">
      <xdr:nvSpPr>
        <xdr:cNvPr id="32" name="TextBox 45">
          <a:extLst>
            <a:ext uri="{FF2B5EF4-FFF2-40B4-BE49-F238E27FC236}">
              <a16:creationId xmlns:a16="http://schemas.microsoft.com/office/drawing/2014/main" id="{B0F1B837-7E13-493C-891B-571EE0ECC14B}"/>
            </a:ext>
          </a:extLst>
        </xdr:cNvPr>
        <xdr:cNvSpPr txBox="1"/>
      </xdr:nvSpPr>
      <xdr:spPr>
        <a:xfrm>
          <a:off x="9756567" y="880134"/>
          <a:ext cx="2649452" cy="31930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solidFill>
                <a:schemeClr val="bg2">
                  <a:lumMod val="25000"/>
                </a:schemeClr>
              </a:solidFill>
            </a:rPr>
            <a:t>Age Group &amp; Income Segmentation</a:t>
          </a:r>
        </a:p>
      </xdr:txBody>
    </xdr:sp>
    <xdr:clientData/>
  </xdr:twoCellAnchor>
  <xdr:twoCellAnchor>
    <xdr:from>
      <xdr:col>15</xdr:col>
      <xdr:colOff>576203</xdr:colOff>
      <xdr:row>20</xdr:row>
      <xdr:rowOff>117593</xdr:rowOff>
    </xdr:from>
    <xdr:to>
      <xdr:col>20</xdr:col>
      <xdr:colOff>300192</xdr:colOff>
      <xdr:row>35</xdr:row>
      <xdr:rowOff>0</xdr:rowOff>
    </xdr:to>
    <xdr:graphicFrame macro="">
      <xdr:nvGraphicFramePr>
        <xdr:cNvPr id="33" name="Chart 32">
          <a:extLst>
            <a:ext uri="{FF2B5EF4-FFF2-40B4-BE49-F238E27FC236}">
              <a16:creationId xmlns:a16="http://schemas.microsoft.com/office/drawing/2014/main" id="{94B54703-B79D-482D-9A32-ED626845E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399697</xdr:colOff>
      <xdr:row>6</xdr:row>
      <xdr:rowOff>63707</xdr:rowOff>
    </xdr:from>
    <xdr:to>
      <xdr:col>15</xdr:col>
      <xdr:colOff>216164</xdr:colOff>
      <xdr:row>8</xdr:row>
      <xdr:rowOff>106056</xdr:rowOff>
    </xdr:to>
    <xdr:sp macro="" textlink="Calculation!C4">
      <xdr:nvSpPr>
        <xdr:cNvPr id="34" name="TextBox 35">
          <a:extLst>
            <a:ext uri="{FF2B5EF4-FFF2-40B4-BE49-F238E27FC236}">
              <a16:creationId xmlns:a16="http://schemas.microsoft.com/office/drawing/2014/main" id="{BE97DFAF-3816-4A9F-98AC-262426D3C1C9}"/>
            </a:ext>
          </a:extLst>
        </xdr:cNvPr>
        <xdr:cNvSpPr txBox="1"/>
      </xdr:nvSpPr>
      <xdr:spPr>
        <a:xfrm>
          <a:off x="7737475" y="1192596"/>
          <a:ext cx="1650911" cy="41864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015426A-517D-4B87-B365-D3DC437861E0}" type="TxLink">
            <a:rPr lang="en-US" sz="2000" b="1" i="0" u="none" strike="noStrike" kern="1200">
              <a:solidFill>
                <a:srgbClr val="000000"/>
              </a:solidFill>
              <a:latin typeface="Aptos Narrow"/>
              <a:ea typeface="+mn-ea"/>
              <a:cs typeface="+mn-cs"/>
            </a:rPr>
            <a:pPr marL="0" indent="0" algn="l" defTabSz="914400" rtl="0" eaLnBrk="1" latinLnBrk="0" hangingPunct="1"/>
            <a:t>$114,398.82</a:t>
          </a:fld>
          <a:endParaRPr lang="en-US" sz="2000" b="1" i="0" u="none" strike="noStrike" kern="1200">
            <a:solidFill>
              <a:srgbClr val="000000"/>
            </a:solidFill>
            <a:latin typeface="Aptos Narrow"/>
            <a:ea typeface="+mn-ea"/>
            <a:cs typeface="+mn-cs"/>
          </a:endParaRPr>
        </a:p>
      </xdr:txBody>
    </xdr:sp>
    <xdr:clientData/>
  </xdr:twoCellAnchor>
  <xdr:twoCellAnchor>
    <xdr:from>
      <xdr:col>4</xdr:col>
      <xdr:colOff>304890</xdr:colOff>
      <xdr:row>3</xdr:row>
      <xdr:rowOff>142386</xdr:rowOff>
    </xdr:from>
    <xdr:to>
      <xdr:col>9</xdr:col>
      <xdr:colOff>53554</xdr:colOff>
      <xdr:row>5</xdr:row>
      <xdr:rowOff>84157</xdr:rowOff>
    </xdr:to>
    <xdr:sp macro="" textlink="">
      <xdr:nvSpPr>
        <xdr:cNvPr id="35" name="TextBox 36">
          <a:extLst>
            <a:ext uri="{FF2B5EF4-FFF2-40B4-BE49-F238E27FC236}">
              <a16:creationId xmlns:a16="http://schemas.microsoft.com/office/drawing/2014/main" id="{7029A47D-2677-4789-8EC7-DD53B670BF51}"/>
            </a:ext>
          </a:extLst>
        </xdr:cNvPr>
        <xdr:cNvSpPr txBox="1"/>
      </xdr:nvSpPr>
      <xdr:spPr>
        <a:xfrm>
          <a:off x="2753083" y="693229"/>
          <a:ext cx="2808905" cy="30900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spc="100" baseline="0">
              <a:solidFill>
                <a:schemeClr val="bg2">
                  <a:lumMod val="25000"/>
                </a:schemeClr>
              </a:solidFill>
            </a:rPr>
            <a:t>Welcome, MetroBank Customer</a:t>
          </a:r>
        </a:p>
      </xdr:txBody>
    </xdr:sp>
    <xdr:clientData/>
  </xdr:twoCellAnchor>
  <xdr:twoCellAnchor editAs="oneCell">
    <xdr:from>
      <xdr:col>3</xdr:col>
      <xdr:colOff>130735</xdr:colOff>
      <xdr:row>31</xdr:row>
      <xdr:rowOff>84043</xdr:rowOff>
    </xdr:from>
    <xdr:to>
      <xdr:col>4</xdr:col>
      <xdr:colOff>92795</xdr:colOff>
      <xdr:row>34</xdr:row>
      <xdr:rowOff>92794</xdr:rowOff>
    </xdr:to>
    <xdr:pic>
      <xdr:nvPicPr>
        <xdr:cNvPr id="39" name="Graphic 38" descr="Exit outline">
          <a:extLst>
            <a:ext uri="{FF2B5EF4-FFF2-40B4-BE49-F238E27FC236}">
              <a16:creationId xmlns:a16="http://schemas.microsoft.com/office/drawing/2014/main" id="{5EF85FCC-042E-6D0E-F45B-34BD5B54A73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951691" y="5873749"/>
          <a:ext cx="569045" cy="569045"/>
        </a:xfrm>
        <a:prstGeom prst="rect">
          <a:avLst/>
        </a:prstGeom>
      </xdr:spPr>
    </xdr:pic>
    <xdr:clientData/>
  </xdr:twoCellAnchor>
  <xdr:twoCellAnchor editAs="oneCell">
    <xdr:from>
      <xdr:col>3</xdr:col>
      <xdr:colOff>103308</xdr:colOff>
      <xdr:row>3</xdr:row>
      <xdr:rowOff>131324</xdr:rowOff>
    </xdr:from>
    <xdr:to>
      <xdr:col>4</xdr:col>
      <xdr:colOff>65368</xdr:colOff>
      <xdr:row>6</xdr:row>
      <xdr:rowOff>140075</xdr:rowOff>
    </xdr:to>
    <xdr:pic>
      <xdr:nvPicPr>
        <xdr:cNvPr id="41" name="Graphic 40" descr="Bank outline">
          <a:extLst>
            <a:ext uri="{FF2B5EF4-FFF2-40B4-BE49-F238E27FC236}">
              <a16:creationId xmlns:a16="http://schemas.microsoft.com/office/drawing/2014/main" id="{D31B01A4-1234-5BB7-F70A-C5E01CB270C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924264" y="691618"/>
          <a:ext cx="569045" cy="569045"/>
        </a:xfrm>
        <a:prstGeom prst="rect">
          <a:avLst/>
        </a:prstGeom>
      </xdr:spPr>
    </xdr:pic>
    <xdr:clientData/>
  </xdr:twoCellAnchor>
  <xdr:twoCellAnchor>
    <xdr:from>
      <xdr:col>9</xdr:col>
      <xdr:colOff>128606</xdr:colOff>
      <xdr:row>25</xdr:row>
      <xdr:rowOff>168798</xdr:rowOff>
    </xdr:from>
    <xdr:to>
      <xdr:col>15</xdr:col>
      <xdr:colOff>385823</xdr:colOff>
      <xdr:row>35</xdr:row>
      <xdr:rowOff>64303</xdr:rowOff>
    </xdr:to>
    <xdr:graphicFrame macro="">
      <xdr:nvGraphicFramePr>
        <xdr:cNvPr id="13" name="Chart 12">
          <a:extLst>
            <a:ext uri="{FF2B5EF4-FFF2-40B4-BE49-F238E27FC236}">
              <a16:creationId xmlns:a16="http://schemas.microsoft.com/office/drawing/2014/main" id="{9259B7BC-79A5-4C23-BCDE-804026AB3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144682</xdr:colOff>
      <xdr:row>12</xdr:row>
      <xdr:rowOff>128607</xdr:rowOff>
    </xdr:from>
    <xdr:to>
      <xdr:col>15</xdr:col>
      <xdr:colOff>385823</xdr:colOff>
      <xdr:row>22</xdr:row>
      <xdr:rowOff>80380</xdr:rowOff>
    </xdr:to>
    <xdr:graphicFrame macro="">
      <xdr:nvGraphicFramePr>
        <xdr:cNvPr id="20" name="Chart 19">
          <a:extLst>
            <a:ext uri="{FF2B5EF4-FFF2-40B4-BE49-F238E27FC236}">
              <a16:creationId xmlns:a16="http://schemas.microsoft.com/office/drawing/2014/main" id="{FF847EF4-77A9-4C88-912D-DD486EB56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148166</xdr:colOff>
      <xdr:row>1</xdr:row>
      <xdr:rowOff>84666</xdr:rowOff>
    </xdr:from>
    <xdr:to>
      <xdr:col>21</xdr:col>
      <xdr:colOff>179917</xdr:colOff>
      <xdr:row>46</xdr:row>
      <xdr:rowOff>68526</xdr:rowOff>
    </xdr:to>
    <xdr:sp macro="" textlink="">
      <xdr:nvSpPr>
        <xdr:cNvPr id="2" name="TextBox 1">
          <a:extLst>
            <a:ext uri="{FF2B5EF4-FFF2-40B4-BE49-F238E27FC236}">
              <a16:creationId xmlns:a16="http://schemas.microsoft.com/office/drawing/2014/main" id="{376B6D30-766A-B23D-0DBC-19BA9B996902}"/>
            </a:ext>
          </a:extLst>
        </xdr:cNvPr>
        <xdr:cNvSpPr txBox="1"/>
      </xdr:nvSpPr>
      <xdr:spPr>
        <a:xfrm>
          <a:off x="1363346" y="267400"/>
          <a:ext cx="11575959" cy="82068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Who is the Metro Bank Customer?</a:t>
          </a:r>
        </a:p>
        <a:p>
          <a:endParaRPr lang="en-US" sz="1100"/>
        </a:p>
        <a:p>
          <a:r>
            <a:rPr lang="en-US" sz="1200"/>
            <a:t>Our customers are diverse in background, but they share patterns in age, income, and loyalty that define what it means to belong to Metro Bank.</a:t>
          </a:r>
        </a:p>
        <a:p>
          <a:endParaRPr lang="en-US" sz="1200"/>
        </a:p>
        <a:p>
          <a:r>
            <a:rPr lang="en-US" sz="1200" b="1"/>
            <a:t>1. Balanced by Gender and Region</a:t>
          </a:r>
        </a:p>
        <a:p>
          <a:r>
            <a:rPr lang="en-US" sz="1200"/>
            <a:t>Metro Bank customers are almost evenly split 256 females and 244 males. Geographically, they are spread across the country, with a slight tilt toward the South (137 customers) and East (133 customers). This balance shows that Metro Bank is not tied to one gender or one region; instead, it appeals broadly across demographics.</a:t>
          </a:r>
        </a:p>
        <a:p>
          <a:endParaRPr lang="en-US" sz="1200"/>
        </a:p>
        <a:p>
          <a:r>
            <a:rPr lang="en-US" sz="1200" b="1"/>
            <a:t>2. Segments: Scale vs. Value</a:t>
          </a:r>
        </a:p>
        <a:p>
          <a:r>
            <a:rPr lang="en-US" sz="1200"/>
            <a:t>Most Metro Bank customers are Retail clients (286). They are the everyday face of the bank numerous, consistent, and loyal. Corporate clients (169) follow closely, while Private clients (45) are the smallest group but the wealthiest per customer, averaging $118,774.18 in income.</a:t>
          </a:r>
        </a:p>
        <a:p>
          <a:r>
            <a:rPr lang="en-US" sz="1200"/>
            <a:t>This means that a “typical Metro Bank customer” is most likely a Retail client, but the bank’s deepest value per person comes from its Private clients.</a:t>
          </a:r>
        </a:p>
        <a:p>
          <a:endParaRPr lang="en-US" sz="1200"/>
        </a:p>
        <a:p>
          <a:r>
            <a:rPr lang="en-US" sz="1200" b="1"/>
            <a:t>3. The Tenure Story: Loyalty in Years</a:t>
          </a:r>
        </a:p>
        <a:p>
          <a:r>
            <a:rPr lang="en-US" sz="1200"/>
            <a:t>Metro Bank customers are not fleeting, they stay.</a:t>
          </a:r>
        </a:p>
        <a:p>
          <a:r>
            <a:rPr lang="en-US" sz="1200"/>
            <a:t>170 customers have been with us for 6–8 years, making this the largest and most stable group. They also generate the highest total income.</a:t>
          </a:r>
        </a:p>
        <a:p>
          <a:r>
            <a:rPr lang="en-US" sz="1200"/>
            <a:t>146 customers (3–5 years) are in the pipeline to become long-term loyalists.</a:t>
          </a:r>
        </a:p>
        <a:p>
          <a:r>
            <a:rPr lang="en-US" sz="1200"/>
            <a:t>124 customers (0–2 years) show strong early engagement, already averaging over $120,000 in income.</a:t>
          </a:r>
        </a:p>
        <a:p>
          <a:r>
            <a:rPr lang="en-US" sz="1200"/>
            <a:t>60 customers (9–10 years) remain, but their average income contribution dips slightly suggesting loyalty has a ceiling.</a:t>
          </a:r>
        </a:p>
        <a:p>
          <a:r>
            <a:rPr lang="en-US" sz="1200"/>
            <a:t>So, the Metro Bank customer is someone who often grows with the bank: engagement and value peak around 3–8 years of tenure.</a:t>
          </a:r>
        </a:p>
        <a:p>
          <a:endParaRPr lang="en-US" sz="1200"/>
        </a:p>
        <a:p>
          <a:r>
            <a:rPr lang="en-US" sz="1200" b="1"/>
            <a:t>4. Age and Income Identity</a:t>
          </a:r>
        </a:p>
        <a:p>
          <a:r>
            <a:rPr lang="en-US" sz="1200"/>
            <a:t>Looking closer at age, the Metro Bank customer identity becomes clearer:</a:t>
          </a:r>
        </a:p>
        <a:p>
          <a:r>
            <a:rPr lang="en-US" sz="1200"/>
            <a:t>Millennials (147 customers) form the heart of the bank. They dominate in numbers and contribute some of the highest incomes (premium average $180,259.56). They are the “core” Metro Bank generation.</a:t>
          </a:r>
        </a:p>
        <a:p>
          <a:r>
            <a:rPr lang="en-US" sz="1200"/>
            <a:t>Gen Z (86 customers) are fewer but surprisingly powerful. Their high-income average ($140,518.41) shows that even at a young age, they bring serious financial weight.</a:t>
          </a:r>
        </a:p>
        <a:p>
          <a:r>
            <a:rPr lang="en-US" sz="1200"/>
            <a:t>Gen X (129 customers) are balanced and steady, reliable contributors across all income levels.</a:t>
          </a:r>
        </a:p>
        <a:p>
          <a:r>
            <a:rPr lang="en-US" sz="1200"/>
            <a:t>Boomers (138 customers), while older, are heavily concentrated in the premium bracket (avg. $177,311.54), making them fewer but highly valuable.</a:t>
          </a:r>
        </a:p>
        <a:p>
          <a:r>
            <a:rPr lang="en-US" sz="1200"/>
            <a:t>This means the Metro Bank customer is just as likely to be a Millennial professional climbing into higher income tiers as they are a Gen Z newcomer breaking into wealth early or a Boomer sitting comfortably in the premium bracket.</a:t>
          </a:r>
        </a:p>
        <a:p>
          <a:endParaRPr lang="en-US" sz="1200"/>
        </a:p>
        <a:p>
          <a:r>
            <a:rPr lang="en-US" sz="1200" b="1"/>
            <a:t>5. So Who is the Metro Bank Customer?</a:t>
          </a:r>
        </a:p>
        <a:p>
          <a:r>
            <a:rPr lang="en-US" sz="1200"/>
            <a:t>The Metro Bank customer is not one single type of person, but the data paints a composite picture:</a:t>
          </a:r>
        </a:p>
        <a:p>
          <a:r>
            <a:rPr lang="en-US" sz="1200"/>
            <a:t>Age: Most often a Millennial, but with strong presence from Gen Z (growth) and Boomers (premium stability).</a:t>
          </a:r>
        </a:p>
        <a:p>
          <a:r>
            <a:rPr lang="en-US" sz="1200"/>
            <a:t>Segment: Typically a Retail customer, though Private clients carry the highest per-person value.</a:t>
          </a:r>
        </a:p>
        <a:p>
          <a:r>
            <a:rPr lang="en-US" sz="1200"/>
            <a:t>Loyalty: Likely to stay with Metro Bank for 6–8 years, where both loyalty and income contributions peak.</a:t>
          </a:r>
        </a:p>
        <a:p>
          <a:r>
            <a:rPr lang="en-US" sz="1200"/>
            <a:t>Income: Spread across all brackets, but with strong representation in high and premium income tiers.</a:t>
          </a:r>
        </a:p>
        <a:p>
          <a:endParaRPr lang="en-US" sz="1200"/>
        </a:p>
        <a:p>
          <a:r>
            <a:rPr lang="en-US" sz="1200"/>
            <a:t>In simple terms, the Metro Bank customer is balanced, loyal, and financially diverse. They are younger than the traditional bank stereotype, with Millennials and Gen Z shaping the future, but still anchored by older generations in premium tiers.</a:t>
          </a:r>
        </a:p>
        <a:p>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RO BOOK 430 G6" refreshedDate="45897.578887268515" backgroundQuery="1" createdVersion="8" refreshedVersion="8" minRefreshableVersion="3" recordCount="0" supportSubquery="1" supportAdvancedDrill="1" xr:uid="{F83D8C09-645A-4A97-8676-D0F288A75E89}">
  <cacheSource type="external" connectionId="3"/>
  <cacheFields count="3">
    <cacheField name="[Measures].[TOTAL CUSTOMERS]" caption="TOTAL CUSTOMERS" numFmtId="0" hierarchy="14" level="32767"/>
    <cacheField name="[customers].[Customer_Segment].[Customer_Segment]" caption="Customer_Segment" numFmtId="0" hierarchy="8" level="1">
      <sharedItems count="3">
        <s v="Corporate"/>
        <s v="Private"/>
        <s v="Retail"/>
      </sharedItems>
    </cacheField>
    <cacheField name="[Measures].[AVERAGE INCOME]" caption="AVERAGE INCOME" numFmtId="0" hierarchy="15" level="32767"/>
  </cacheFields>
  <cacheHierarchies count="20">
    <cacheHierarchy uniqueName="[A].[Measures]" caption="Measures" attribute="1" defaultMemberUniqueName="[A].[Measures].[All]" allUniqueName="[A].[Measures].[All]" dimensionUniqueName="[A]"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1"/>
      </fieldsUsage>
    </cacheHierarchy>
    <cacheHierarchy uniqueName="[customers].[Join_Date]" caption="Join_Date" attribute="1" time="1" defaultMemberUniqueName="[customers].[Join_Date].[All]" allUniqueName="[customers].[Joi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Income_Bracket]" caption="Income_Bracket" attribute="1" defaultMemberUniqueName="[customers].[Income_Bracket].[All]" allUniqueName="[customers].[Income_Bracket].[All]" dimensionUniqueName="[customers]" displayFolder="" count="0" memberValueDatatype="130" unbalanced="0"/>
    <cacheHierarchy uniqueName="[customers].[Tenure (Years)]" caption="Tenure (Years)" attribute="1" defaultMemberUniqueName="[customers].[Tenure (Years)].[All]" allUniqueName="[customers].[Tenure (Years)].[All]" dimensionUniqueName="[customers]" displayFolder="" count="0" memberValueDatatype="20" unbalanced="0"/>
    <cacheHierarchy uniqueName="[customers].[Tenure_Bracket]" caption="Tenure_Bracket" attribute="1" defaultMemberUniqueName="[customers].[Tenure_Bracket].[All]" allUniqueName="[customers].[Tenure_Bracket].[All]" dimensionUniqueName="[customers]" displayFolder="" count="0" memberValueDatatype="130" unbalanced="0"/>
    <cacheHierarchy uniqueName="[Measures].[TOTAL CUSTOMERS]" caption="TOTAL CUSTOMERS" measure="1" displayFolder="" measureGroup="A" count="0" oneField="1">
      <fieldsUsage count="1">
        <fieldUsage x="0"/>
      </fieldsUsage>
    </cacheHierarchy>
    <cacheHierarchy uniqueName="[Measures].[AVERAGE INCOME]" caption="AVERAGE INCOME" measure="1" displayFolder="" measureGroup="A" count="0" oneField="1">
      <fieldsUsage count="1">
        <fieldUsage x="2"/>
      </fieldsUsage>
    </cacheHierarchy>
    <cacheHierarchy uniqueName="[Measures].[__XL_Count customers]" caption="__XL_Count customers" measure="1" displayFolder="" measureGroup="customers" count="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Sum of Tenure (Years)]" caption="Sum of Tenure (Years)"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A" uniqueName="[A]" caption="A"/>
    <dimension name="customers" uniqueName="[customers]" caption="customers"/>
    <dimension measure="1" name="Measures" uniqueName="[Measures]" caption="Measures"/>
  </dimensions>
  <measureGroups count="2">
    <measureGroup name="A" caption="A"/>
    <measureGroup name="customers" caption="customer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RO BOOK 430 G6" refreshedDate="45897.578889699071" backgroundQuery="1" createdVersion="8" refreshedVersion="8" minRefreshableVersion="3" recordCount="0" supportSubquery="1" supportAdvancedDrill="1" xr:uid="{5FA0BFA3-3EA0-4AA8-8F99-463F9AFD1468}">
  <cacheSource type="external" connectionId="3"/>
  <cacheFields count="2">
    <cacheField name="[Measures].[TOTAL CUSTOMERS]" caption="TOTAL CUSTOMERS" numFmtId="0" hierarchy="14" level="32767"/>
    <cacheField name="[customers].[Gender].[Gender]" caption="Gender" numFmtId="0" hierarchy="3" level="1">
      <sharedItems count="2">
        <s v="Female"/>
        <s v="Male"/>
      </sharedItems>
    </cacheField>
  </cacheFields>
  <cacheHierarchies count="20">
    <cacheHierarchy uniqueName="[A].[Measures]" caption="Measures" attribute="1" defaultMemberUniqueName="[A].[Measures].[All]" allUniqueName="[A].[Measures].[All]" dimensionUniqueName="[A]"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Income_Bracket]" caption="Income_Bracket" attribute="1" defaultMemberUniqueName="[customers].[Income_Bracket].[All]" allUniqueName="[customers].[Income_Bracket].[All]" dimensionUniqueName="[customers]" displayFolder="" count="0" memberValueDatatype="130" unbalanced="0"/>
    <cacheHierarchy uniqueName="[customers].[Tenure (Years)]" caption="Tenure (Years)" attribute="1" defaultMemberUniqueName="[customers].[Tenure (Years)].[All]" allUniqueName="[customers].[Tenure (Years)].[All]" dimensionUniqueName="[customers]" displayFolder="" count="0" memberValueDatatype="20" unbalanced="0"/>
    <cacheHierarchy uniqueName="[customers].[Tenure_Bracket]" caption="Tenure_Bracket" attribute="1" defaultMemberUniqueName="[customers].[Tenure_Bracket].[All]" allUniqueName="[customers].[Tenure_Bracket].[All]" dimensionUniqueName="[customers]" displayFolder="" count="0" memberValueDatatype="130" unbalanced="0"/>
    <cacheHierarchy uniqueName="[Measures].[TOTAL CUSTOMERS]" caption="TOTAL CUSTOMERS" measure="1" displayFolder="" measureGroup="A" count="0" oneField="1">
      <fieldsUsage count="1">
        <fieldUsage x="0"/>
      </fieldsUsage>
    </cacheHierarchy>
    <cacheHierarchy uniqueName="[Measures].[AVERAGE INCOME]" caption="AVERAGE INCOME" measure="1" displayFolder="" measureGroup="A" count="0"/>
    <cacheHierarchy uniqueName="[Measures].[__XL_Count customers]" caption="__XL_Count customers" measure="1" displayFolder="" measureGroup="customers" count="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Sum of Tenure (Years)]" caption="Sum of Tenure (Years)"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A" uniqueName="[A]" caption="A"/>
    <dimension name="customers" uniqueName="[customers]" caption="customers"/>
    <dimension measure="1" name="Measures" uniqueName="[Measures]" caption="Measures"/>
  </dimensions>
  <measureGroups count="2">
    <measureGroup name="A" caption="A"/>
    <measureGroup name="customers" caption="customer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RO BOOK 430 G6" refreshedDate="45897.578891898149" backgroundQuery="1" createdVersion="8" refreshedVersion="8" minRefreshableVersion="3" recordCount="0" supportSubquery="1" supportAdvancedDrill="1" xr:uid="{CFA1693E-E295-4360-867F-11423744CB5C}">
  <cacheSource type="external" connectionId="3"/>
  <cacheFields count="2">
    <cacheField name="[Measures].[TOTAL CUSTOMERS]" caption="TOTAL CUSTOMERS" numFmtId="0" hierarchy="14" level="32767"/>
    <cacheField name="[customers].[Region].[Region]" caption="Region" numFmtId="0" hierarchy="5" level="1">
      <sharedItems count="4">
        <s v="East"/>
        <s v="North"/>
        <s v="South"/>
        <s v="West"/>
      </sharedItems>
    </cacheField>
  </cacheFields>
  <cacheHierarchies count="20">
    <cacheHierarchy uniqueName="[A].[Measures]" caption="Measures" attribute="1" defaultMemberUniqueName="[A].[Measures].[All]" allUniqueName="[A].[Measures].[All]" dimensionUniqueName="[A]"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1"/>
      </fieldsUsage>
    </cacheHierarchy>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Income_Bracket]" caption="Income_Bracket" attribute="1" defaultMemberUniqueName="[customers].[Income_Bracket].[All]" allUniqueName="[customers].[Income_Bracket].[All]" dimensionUniqueName="[customers]" displayFolder="" count="0" memberValueDatatype="130" unbalanced="0"/>
    <cacheHierarchy uniqueName="[customers].[Tenure (Years)]" caption="Tenure (Years)" attribute="1" defaultMemberUniqueName="[customers].[Tenure (Years)].[All]" allUniqueName="[customers].[Tenure (Years)].[All]" dimensionUniqueName="[customers]" displayFolder="" count="0" memberValueDatatype="20" unbalanced="0"/>
    <cacheHierarchy uniqueName="[customers].[Tenure_Bracket]" caption="Tenure_Bracket" attribute="1" defaultMemberUniqueName="[customers].[Tenure_Bracket].[All]" allUniqueName="[customers].[Tenure_Bracket].[All]" dimensionUniqueName="[customers]" displayFolder="" count="0" memberValueDatatype="130" unbalanced="0"/>
    <cacheHierarchy uniqueName="[Measures].[TOTAL CUSTOMERS]" caption="TOTAL CUSTOMERS" measure="1" displayFolder="" measureGroup="A" count="0" oneField="1">
      <fieldsUsage count="1">
        <fieldUsage x="0"/>
      </fieldsUsage>
    </cacheHierarchy>
    <cacheHierarchy uniqueName="[Measures].[AVERAGE INCOME]" caption="AVERAGE INCOME" measure="1" displayFolder="" measureGroup="A" count="0"/>
    <cacheHierarchy uniqueName="[Measures].[__XL_Count customers]" caption="__XL_Count customers" measure="1" displayFolder="" measureGroup="customers" count="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Sum of Tenure (Years)]" caption="Sum of Tenure (Years)"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A" uniqueName="[A]" caption="A"/>
    <dimension name="customers" uniqueName="[customers]" caption="customers"/>
    <dimension measure="1" name="Measures" uniqueName="[Measures]" caption="Measures"/>
  </dimensions>
  <measureGroups count="2">
    <measureGroup name="A" caption="A"/>
    <measureGroup name="customers" caption="customer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RO BOOK 430 G6" refreshedDate="45897.578893981481" backgroundQuery="1" createdVersion="8" refreshedVersion="8" minRefreshableVersion="3" recordCount="0" supportSubquery="1" supportAdvancedDrill="1" xr:uid="{AF7D5EC4-FEC9-4BFB-9774-5FF730CF3174}">
  <cacheSource type="external" connectionId="3"/>
  <cacheFields count="2">
    <cacheField name="[Measures].[TOTAL CUSTOMERS]" caption="TOTAL CUSTOMERS" numFmtId="0" hierarchy="14" level="32767"/>
    <cacheField name="[Measures].[AVERAGE INCOME]" caption="AVERAGE INCOME" numFmtId="0" hierarchy="15" level="32767"/>
  </cacheFields>
  <cacheHierarchies count="20">
    <cacheHierarchy uniqueName="[A].[Measures]" caption="Measures" attribute="1" defaultMemberUniqueName="[A].[Measures].[All]" allUniqueName="[A].[Measures].[All]" dimensionUniqueName="[A]"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Income_Bracket]" caption="Income_Bracket" attribute="1" defaultMemberUniqueName="[customers].[Income_Bracket].[All]" allUniqueName="[customers].[Income_Bracket].[All]" dimensionUniqueName="[customers]" displayFolder="" count="0" memberValueDatatype="130" unbalanced="0"/>
    <cacheHierarchy uniqueName="[customers].[Tenure (Years)]" caption="Tenure (Years)" attribute="1" defaultMemberUniqueName="[customers].[Tenure (Years)].[All]" allUniqueName="[customers].[Tenure (Years)].[All]" dimensionUniqueName="[customers]" displayFolder="" count="0" memberValueDatatype="20" unbalanced="0"/>
    <cacheHierarchy uniqueName="[customers].[Tenure_Bracket]" caption="Tenure_Bracket" attribute="1" defaultMemberUniqueName="[customers].[Tenure_Bracket].[All]" allUniqueName="[customers].[Tenure_Bracket].[All]" dimensionUniqueName="[customers]" displayFolder="" count="0" memberValueDatatype="130" unbalanced="0"/>
    <cacheHierarchy uniqueName="[Measures].[TOTAL CUSTOMERS]" caption="TOTAL CUSTOMERS" measure="1" displayFolder="" measureGroup="A" count="0" oneField="1">
      <fieldsUsage count="1">
        <fieldUsage x="0"/>
      </fieldsUsage>
    </cacheHierarchy>
    <cacheHierarchy uniqueName="[Measures].[AVERAGE INCOME]" caption="AVERAGE INCOME" measure="1" displayFolder="" measureGroup="A" count="0" oneField="1">
      <fieldsUsage count="1">
        <fieldUsage x="1"/>
      </fieldsUsage>
    </cacheHierarchy>
    <cacheHierarchy uniqueName="[Measures].[__XL_Count customers]" caption="__XL_Count customers" measure="1" displayFolder="" measureGroup="customers" count="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Sum of Tenure (Years)]" caption="Sum of Tenure (Years)"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A" uniqueName="[A]" caption="A"/>
    <dimension name="customers" uniqueName="[customers]" caption="customers"/>
    <dimension measure="1" name="Measures" uniqueName="[Measures]" caption="Measures"/>
  </dimensions>
  <measureGroups count="2">
    <measureGroup name="A" caption="A"/>
    <measureGroup name="customers" caption="customer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RO BOOK 430 G6" refreshedDate="45897.578896412037" backgroundQuery="1" createdVersion="8" refreshedVersion="8" minRefreshableVersion="3" recordCount="0" supportSubquery="1" supportAdvancedDrill="1" xr:uid="{809062AC-A220-4A50-AA39-013D524112B4}">
  <cacheSource type="external" connectionId="3"/>
  <cacheFields count="3">
    <cacheField name="[customers].[Tenure_Bracket].[Tenure_Bracket]" caption="Tenure_Bracket" numFmtId="0" hierarchy="13" level="1">
      <sharedItems count="4">
        <s v="Emerging (3-5 Yrs)"/>
        <s v="Established (6-8 Yrs)"/>
        <s v="Loyal (9-10 Yrs)"/>
        <s v="New (0-2 Yrs)"/>
      </sharedItems>
    </cacheField>
    <cacheField name="[Measures].[TOTAL CUSTOMERS]" caption="TOTAL CUSTOMERS" numFmtId="0" hierarchy="14" level="32767"/>
    <cacheField name="[Measures].[AVERAGE INCOME]" caption="AVERAGE INCOME" numFmtId="0" hierarchy="15" level="32767"/>
  </cacheFields>
  <cacheHierarchies count="20">
    <cacheHierarchy uniqueName="[A].[Measures]" caption="Measures" attribute="1" defaultMemberUniqueName="[A].[Measures].[All]" allUniqueName="[A].[Measures].[All]" dimensionUniqueName="[A]"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Income_Bracket]" caption="Income_Bracket" attribute="1" defaultMemberUniqueName="[customers].[Income_Bracket].[All]" allUniqueName="[customers].[Income_Bracket].[All]" dimensionUniqueName="[customers]" displayFolder="" count="0" memberValueDatatype="130" unbalanced="0"/>
    <cacheHierarchy uniqueName="[customers].[Tenure (Years)]" caption="Tenure (Years)" attribute="1" defaultMemberUniqueName="[customers].[Tenure (Years)].[All]" allUniqueName="[customers].[Tenure (Years)].[All]" dimensionUniqueName="[customers]" displayFolder="" count="0" memberValueDatatype="20" unbalanced="0"/>
    <cacheHierarchy uniqueName="[customers].[Tenure_Bracket]" caption="Tenure_Bracket" attribute="1" defaultMemberUniqueName="[customers].[Tenure_Bracket].[All]" allUniqueName="[customers].[Tenure_Bracket].[All]" dimensionUniqueName="[customers]" displayFolder="" count="2" memberValueDatatype="130" unbalanced="0">
      <fieldsUsage count="2">
        <fieldUsage x="-1"/>
        <fieldUsage x="0"/>
      </fieldsUsage>
    </cacheHierarchy>
    <cacheHierarchy uniqueName="[Measures].[TOTAL CUSTOMERS]" caption="TOTAL CUSTOMERS" measure="1" displayFolder="" measureGroup="A" count="0" oneField="1">
      <fieldsUsage count="1">
        <fieldUsage x="1"/>
      </fieldsUsage>
    </cacheHierarchy>
    <cacheHierarchy uniqueName="[Measures].[AVERAGE INCOME]" caption="AVERAGE INCOME" measure="1" displayFolder="" measureGroup="A" count="0" oneField="1">
      <fieldsUsage count="1">
        <fieldUsage x="2"/>
      </fieldsUsage>
    </cacheHierarchy>
    <cacheHierarchy uniqueName="[Measures].[__XL_Count customers]" caption="__XL_Count customers" measure="1" displayFolder="" measureGroup="customers" count="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Sum of Tenure (Years)]" caption="Sum of Tenure (Years)"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A" uniqueName="[A]" caption="A"/>
    <dimension name="customers" uniqueName="[customers]" caption="customers"/>
    <dimension measure="1" name="Measures" uniqueName="[Measures]" caption="Measures"/>
  </dimensions>
  <measureGroups count="2">
    <measureGroup name="A" caption="A"/>
    <measureGroup name="customers" caption="customer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RO BOOK 430 G6" refreshedDate="45897.586530902779" backgroundQuery="1" createdVersion="8" refreshedVersion="8" minRefreshableVersion="3" recordCount="0" supportSubquery="1" supportAdvancedDrill="1" xr:uid="{6080851D-C924-4FF5-A1C9-6DBD605BF2EE}">
  <cacheSource type="external" connectionId="3"/>
  <cacheFields count="3">
    <cacheField name="[customers].[Age_Group].[Age_Group]" caption="Age_Group" numFmtId="0" hierarchy="10" level="1">
      <sharedItems count="4">
        <s v="Boomers"/>
        <s v="Gen X"/>
        <s v="Gen Z"/>
        <s v="Millennials"/>
      </sharedItems>
    </cacheField>
    <cacheField name="[customers].[Income_Bracket].[Income_Bracket]" caption="Income_Bracket" numFmtId="0" hierarchy="11" level="1">
      <sharedItems count="4">
        <s v="High"/>
        <s v="Low"/>
        <s v="Medium"/>
        <s v="Premium"/>
      </sharedItems>
    </cacheField>
    <cacheField name="[Measures].[AVERAGE INCOME]" caption="AVERAGE INCOME" numFmtId="0" hierarchy="15" level="32767"/>
  </cacheFields>
  <cacheHierarchies count="20">
    <cacheHierarchy uniqueName="[A].[Measures]" caption="Measures" attribute="1" defaultMemberUniqueName="[A].[Measures].[All]" allUniqueName="[A].[Measures].[All]" dimensionUniqueName="[A]"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2" memberValueDatatype="130" unbalanced="0">
      <fieldsUsage count="2">
        <fieldUsage x="-1"/>
        <fieldUsage x="0"/>
      </fieldsUsage>
    </cacheHierarchy>
    <cacheHierarchy uniqueName="[customers].[Income_Bracket]" caption="Income_Bracket" attribute="1" defaultMemberUniqueName="[customers].[Income_Bracket].[All]" allUniqueName="[customers].[Income_Bracket].[All]" dimensionUniqueName="[customers]" displayFolder="" count="2" memberValueDatatype="130" unbalanced="0">
      <fieldsUsage count="2">
        <fieldUsage x="-1"/>
        <fieldUsage x="1"/>
      </fieldsUsage>
    </cacheHierarchy>
    <cacheHierarchy uniqueName="[customers].[Tenure (Years)]" caption="Tenure (Years)" attribute="1" defaultMemberUniqueName="[customers].[Tenure (Years)].[All]" allUniqueName="[customers].[Tenure (Years)].[All]" dimensionUniqueName="[customers]" displayFolder="" count="0" memberValueDatatype="20" unbalanced="0"/>
    <cacheHierarchy uniqueName="[customers].[Tenure_Bracket]" caption="Tenure_Bracket" attribute="1" defaultMemberUniqueName="[customers].[Tenure_Bracket].[All]" allUniqueName="[customers].[Tenure_Bracket].[All]" dimensionUniqueName="[customers]" displayFolder="" count="2" memberValueDatatype="130" unbalanced="0"/>
    <cacheHierarchy uniqueName="[Measures].[TOTAL CUSTOMERS]" caption="TOTAL CUSTOMERS" measure="1" displayFolder="" measureGroup="A" count="0"/>
    <cacheHierarchy uniqueName="[Measures].[AVERAGE INCOME]" caption="AVERAGE INCOME" measure="1" displayFolder="" measureGroup="A" count="0" oneField="1">
      <fieldsUsage count="1">
        <fieldUsage x="2"/>
      </fieldsUsage>
    </cacheHierarchy>
    <cacheHierarchy uniqueName="[Measures].[__XL_Count customers]" caption="__XL_Count customers" measure="1" displayFolder="" measureGroup="customers" count="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Sum of Tenure (Years)]" caption="Sum of Tenure (Years)"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A" uniqueName="[A]" caption="A"/>
    <dimension name="customers" uniqueName="[customers]" caption="customers"/>
    <dimension measure="1" name="Measures" uniqueName="[Measures]" caption="Measures"/>
  </dimensions>
  <measureGroups count="2">
    <measureGroup name="A" caption="A"/>
    <measureGroup name="customers" caption="customer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RO BOOK 430 G6" refreshedDate="45898.012909606485" backgroundQuery="1" createdVersion="8" refreshedVersion="8" minRefreshableVersion="3" recordCount="0" supportSubquery="1" supportAdvancedDrill="1" xr:uid="{CC59E6B9-57D5-4F45-ABD8-EBA07BFCE082}">
  <cacheSource type="external" connectionId="3"/>
  <cacheFields count="3">
    <cacheField name="[customers].[Age_Group].[Age_Group]" caption="Age_Group" numFmtId="0" hierarchy="10" level="1">
      <sharedItems count="4">
        <s v="Boomers"/>
        <s v="Gen X"/>
        <s v="Gen Z"/>
        <s v="Millennials"/>
      </sharedItems>
    </cacheField>
    <cacheField name="[customers].[Income_Bracket].[Income_Bracket]" caption="Income_Bracket" numFmtId="0" hierarchy="11" level="1">
      <sharedItems count="4">
        <s v="High"/>
        <s v="Low"/>
        <s v="Medium"/>
        <s v="Premium"/>
      </sharedItems>
    </cacheField>
    <cacheField name="[Measures].[TOTAL CUSTOMERS]" caption="TOTAL CUSTOMERS" numFmtId="0" hierarchy="14" level="32767"/>
  </cacheFields>
  <cacheHierarchies count="20">
    <cacheHierarchy uniqueName="[A].[Measures]" caption="Measures" attribute="1" defaultMemberUniqueName="[A].[Measures].[All]" allUniqueName="[A].[Measures].[All]" dimensionUniqueName="[A]"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2" memberValueDatatype="130" unbalanced="0">
      <fieldsUsage count="2">
        <fieldUsage x="-1"/>
        <fieldUsage x="0"/>
      </fieldsUsage>
    </cacheHierarchy>
    <cacheHierarchy uniqueName="[customers].[Income_Bracket]" caption="Income_Bracket" attribute="1" defaultMemberUniqueName="[customers].[Income_Bracket].[All]" allUniqueName="[customers].[Income_Bracket].[All]" dimensionUniqueName="[customers]" displayFolder="" count="2" memberValueDatatype="130" unbalanced="0">
      <fieldsUsage count="2">
        <fieldUsage x="-1"/>
        <fieldUsage x="1"/>
      </fieldsUsage>
    </cacheHierarchy>
    <cacheHierarchy uniqueName="[customers].[Tenure (Years)]" caption="Tenure (Years)" attribute="1" defaultMemberUniqueName="[customers].[Tenure (Years)].[All]" allUniqueName="[customers].[Tenure (Years)].[All]" dimensionUniqueName="[customers]" displayFolder="" count="0" memberValueDatatype="20" unbalanced="0"/>
    <cacheHierarchy uniqueName="[customers].[Tenure_Bracket]" caption="Tenure_Bracket" attribute="1" defaultMemberUniqueName="[customers].[Tenure_Bracket].[All]" allUniqueName="[customers].[Tenure_Bracket].[All]" dimensionUniqueName="[customers]" displayFolder="" count="2" memberValueDatatype="130" unbalanced="0"/>
    <cacheHierarchy uniqueName="[Measures].[TOTAL CUSTOMERS]" caption="TOTAL CUSTOMERS" measure="1" displayFolder="" measureGroup="A" count="0" oneField="1">
      <fieldsUsage count="1">
        <fieldUsage x="2"/>
      </fieldsUsage>
    </cacheHierarchy>
    <cacheHierarchy uniqueName="[Measures].[AVERAGE INCOME]" caption="AVERAGE INCOME" measure="1" displayFolder="" measureGroup="A" count="0"/>
    <cacheHierarchy uniqueName="[Measures].[__XL_Count customers]" caption="__XL_Count customers" measure="1" displayFolder="" measureGroup="customers" count="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Sum of Tenure (Years)]" caption="Sum of Tenure (Years)"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A" uniqueName="[A]" caption="A"/>
    <dimension name="customers" uniqueName="[customers]" caption="customers"/>
    <dimension measure="1" name="Measures" uniqueName="[Measures]" caption="Measures"/>
  </dimensions>
  <measureGroups count="2">
    <measureGroup name="A" caption="A"/>
    <measureGroup name="customers" caption="customer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C45C40-6970-4B3A-B244-F2FEF4A3447A}" name="PivotTable10" cacheId="5" applyNumberFormats="0" applyBorderFormats="0" applyFontFormats="0" applyPatternFormats="0" applyAlignmentFormats="0" applyWidthHeightFormats="1" dataCaption="Values" tag="a62e9e45-c0b0-410e-96e8-959738ea6e75" updatedVersion="8" minRefreshableVersion="3" useAutoFormatting="1" subtotalHiddenItems="1" rowGrandTotals="0" colGrandTotals="0" itemPrintTitles="1" createdVersion="8" indent="0" outline="1" outlineData="1" multipleFieldFilters="0" chartFormat="15">
  <location ref="H27:L32"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Fields count="1">
    <field x="1"/>
  </colFields>
  <colItems count="4">
    <i>
      <x/>
    </i>
    <i>
      <x v="1"/>
    </i>
    <i>
      <x v="2"/>
    </i>
    <i>
      <x v="3"/>
    </i>
  </colItems>
  <dataFields count="1">
    <dataField fld="2" subtotal="count" baseField="0" baseItem="0"/>
  </dataFields>
  <conditionalFormats count="4">
    <conditionalFormat priority="1">
      <pivotAreas count="1">
        <pivotArea type="data" outline="0" collapsedLevelsAreSubtotals="1" fieldPosition="0">
          <references count="2">
            <reference field="4294967294" count="1" selected="0">
              <x v="0"/>
            </reference>
            <reference field="1" count="1" selected="0">
              <x v="3"/>
            </reference>
          </references>
        </pivotArea>
      </pivotAreas>
    </conditionalFormat>
    <conditionalFormat priority="2">
      <pivotAreas count="1">
        <pivotArea type="data" outline="0" collapsedLevelsAreSubtotals="1" fieldPosition="0">
          <references count="2">
            <reference field="4294967294" count="1" selected="0">
              <x v="0"/>
            </reference>
            <reference field="1" count="1" selected="0">
              <x v="2"/>
            </reference>
          </references>
        </pivotArea>
      </pivotAreas>
    </conditionalFormat>
    <conditionalFormat priority="3">
      <pivotAreas count="1">
        <pivotArea type="data" outline="0" collapsedLevelsAreSubtotals="1" fieldPosition="0">
          <references count="2">
            <reference field="4294967294" count="1" selected="0">
              <x v="0"/>
            </reference>
            <reference field="1" count="1" selected="0">
              <x v="1"/>
            </reference>
          </references>
        </pivotArea>
      </pivotAreas>
    </conditionalFormat>
    <conditionalFormat priority="4">
      <pivotAreas count="1">
        <pivotArea type="data" outline="0" collapsedLevelsAreSubtotals="1" fieldPosition="0">
          <references count="2">
            <reference field="4294967294" count="1" selected="0">
              <x v="0"/>
            </reference>
            <reference field="1" count="1" selected="0">
              <x v="0"/>
            </reference>
          </references>
        </pivotArea>
      </pivotAreas>
    </conditionalFormat>
  </conditionalFormats>
  <chartFormats count="15">
    <chartFormat chart="6" format="8" series="1">
      <pivotArea type="data" outline="0" fieldPosition="0">
        <references count="2">
          <reference field="4294967294" count="1" selected="0">
            <x v="0"/>
          </reference>
          <reference field="1" count="1" selected="0">
            <x v="0"/>
          </reference>
        </references>
      </pivotArea>
    </chartFormat>
    <chartFormat chart="6" format="9" series="1">
      <pivotArea type="data" outline="0" fieldPosition="0">
        <references count="2">
          <reference field="4294967294" count="1" selected="0">
            <x v="0"/>
          </reference>
          <reference field="1" count="1" selected="0">
            <x v="1"/>
          </reference>
        </references>
      </pivotArea>
    </chartFormat>
    <chartFormat chart="6" format="10" series="1">
      <pivotArea type="data" outline="0" fieldPosition="0">
        <references count="2">
          <reference field="4294967294" count="1" selected="0">
            <x v="0"/>
          </reference>
          <reference field="1" count="1" selected="0">
            <x v="2"/>
          </reference>
        </references>
      </pivotArea>
    </chartFormat>
    <chartFormat chart="6" format="11" series="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3">
          <reference field="4294967294" count="1" selected="0">
            <x v="0"/>
          </reference>
          <reference field="0" count="1" selected="0">
            <x v="2"/>
          </reference>
          <reference field="1" count="1" selected="0">
            <x v="3"/>
          </reference>
        </references>
      </pivotArea>
    </chartFormat>
    <chartFormat chart="6" format="13">
      <pivotArea type="data" outline="0" fieldPosition="0">
        <references count="3">
          <reference field="4294967294" count="1" selected="0">
            <x v="0"/>
          </reference>
          <reference field="0" count="1" selected="0">
            <x v="3"/>
          </reference>
          <reference field="1" count="1" selected="0">
            <x v="3"/>
          </reference>
        </references>
      </pivotArea>
    </chartFormat>
    <chartFormat chart="6" format="14">
      <pivotArea type="data" outline="0" fieldPosition="0">
        <references count="3">
          <reference field="4294967294" count="1" selected="0">
            <x v="0"/>
          </reference>
          <reference field="0" count="1" selected="0">
            <x v="3"/>
          </reference>
          <reference field="1" count="1" selected="0">
            <x v="2"/>
          </reference>
        </references>
      </pivotArea>
    </chartFormat>
    <chartFormat chart="6" format="15">
      <pivotArea type="data" outline="0" fieldPosition="0">
        <references count="3">
          <reference field="4294967294" count="1" selected="0">
            <x v="0"/>
          </reference>
          <reference field="0" count="1" selected="0">
            <x v="2"/>
          </reference>
          <reference field="1" count="1" selected="0">
            <x v="2"/>
          </reference>
        </references>
      </pivotArea>
    </chartFormat>
    <chartFormat chart="6" format="16">
      <pivotArea type="data" outline="0" fieldPosition="0">
        <references count="3">
          <reference field="4294967294" count="1" selected="0">
            <x v="0"/>
          </reference>
          <reference field="0" count="1" selected="0">
            <x v="1"/>
          </reference>
          <reference field="1" count="1" selected="0">
            <x v="3"/>
          </reference>
        </references>
      </pivotArea>
    </chartFormat>
    <chartFormat chart="6" format="17">
      <pivotArea type="data" outline="0" fieldPosition="0">
        <references count="3">
          <reference field="4294967294" count="1" selected="0">
            <x v="0"/>
          </reference>
          <reference field="0" count="1" selected="0">
            <x v="1"/>
          </reference>
          <reference field="1" count="1" selected="0">
            <x v="2"/>
          </reference>
        </references>
      </pivotArea>
    </chartFormat>
    <chartFormat chart="6" format="18">
      <pivotArea type="data" outline="0" fieldPosition="0">
        <references count="3">
          <reference field="4294967294" count="1" selected="0">
            <x v="0"/>
          </reference>
          <reference field="0" count="1" selected="0">
            <x v="0"/>
          </reference>
          <reference field="1" count="1" selected="0">
            <x v="3"/>
          </reference>
        </references>
      </pivotArea>
    </chartFormat>
    <chartFormat chart="6" format="19">
      <pivotArea type="data" outline="0" fieldPosition="0">
        <references count="3">
          <reference field="4294967294" count="1" selected="0">
            <x v="0"/>
          </reference>
          <reference field="0" count="1" selected="0">
            <x v="0"/>
          </reference>
          <reference field="1" count="1" selected="0">
            <x v="2"/>
          </reference>
        </references>
      </pivotArea>
    </chartFormat>
    <chartFormat chart="6" format="20">
      <pivotArea type="data" outline="0" fieldPosition="0">
        <references count="3">
          <reference field="4294967294" count="1" selected="0">
            <x v="0"/>
          </reference>
          <reference field="0" count="1" selected="0">
            <x v="0"/>
          </reference>
          <reference field="1" count="1" selected="0">
            <x v="0"/>
          </reference>
        </references>
      </pivotArea>
    </chartFormat>
    <chartFormat chart="6" format="21">
      <pivotArea type="data" outline="0" fieldPosition="0">
        <references count="3">
          <reference field="4294967294" count="1" selected="0">
            <x v="0"/>
          </reference>
          <reference field="0" count="1" selected="0">
            <x v="1"/>
          </reference>
          <reference field="1" count="1" selected="0">
            <x v="0"/>
          </reference>
        </references>
      </pivotArea>
    </chartFormat>
    <chartFormat chart="6" format="22">
      <pivotArea type="data" outline="0" fieldPosition="0">
        <references count="3">
          <reference field="4294967294" count="1" selected="0">
            <x v="0"/>
          </reference>
          <reference field="0" count="1" selected="0">
            <x v="2"/>
          </reference>
          <reference field="1"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s]"/>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D0690E-D91B-4B0D-B5D9-14C8A3DF7684}" name="PivotTable9" cacheId="6" applyNumberFormats="0" applyBorderFormats="0" applyFontFormats="0" applyPatternFormats="0" applyAlignmentFormats="0" applyWidthHeightFormats="1" dataCaption="Values" tag="d3e780d4-942f-4f7b-ad69-12a364be85f9" updatedVersion="8" minRefreshableVersion="3" useAutoFormatting="1" subtotalHiddenItems="1" rowGrandTotals="0" colGrandTotals="0" itemPrintTitles="1" createdVersion="8" indent="0" outline="1" outlineData="1" multipleFieldFilters="0" chartFormat="10">
  <location ref="B27:F32" firstHeaderRow="1" firstDataRow="2" firstDataCol="1"/>
  <pivotFields count="3">
    <pivotField axis="axisRow" allDrilled="1" subtotalTop="0" showAll="0" sortType="ascending" defaultSubtotal="0" defaultAttributeDrillState="1">
      <items count="4">
        <item x="0"/>
        <item x="1"/>
        <item x="2"/>
        <item x="3"/>
      </items>
      <autoSortScope>
        <pivotArea dataOnly="0" outline="0" fieldPosition="0">
          <references count="2">
            <reference field="4294967294" count="1" selected="0">
              <x v="0"/>
            </reference>
            <reference field="1" count="1" selected="0">
              <x v="0"/>
            </reference>
          </references>
        </pivotArea>
      </autoSortScope>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v="2"/>
    </i>
    <i>
      <x/>
    </i>
    <i>
      <x v="1"/>
    </i>
    <i>
      <x v="3"/>
    </i>
  </rowItems>
  <colFields count="1">
    <field x="1"/>
  </colFields>
  <colItems count="4">
    <i>
      <x/>
    </i>
    <i>
      <x v="1"/>
    </i>
    <i>
      <x v="2"/>
    </i>
    <i>
      <x v="3"/>
    </i>
  </colItems>
  <dataFields count="1">
    <dataField fld="2" subtotal="count" baseField="0" baseItem="0"/>
  </dataFields>
  <conditionalFormats count="1">
    <conditionalFormat priority="5">
      <pivotAreas count="1">
        <pivotArea type="data" outline="0" collapsedLevelsAreSubtotals="1" fieldPosition="0">
          <references count="1">
            <reference field="4294967294" count="1" selected="0">
              <x v="0"/>
            </reference>
          </references>
        </pivotArea>
      </pivotAreas>
    </conditionalFormat>
  </conditionalFormats>
  <chartFormats count="4">
    <chartFormat chart="6" format="8" series="1">
      <pivotArea type="data" outline="0" fieldPosition="0">
        <references count="2">
          <reference field="4294967294" count="1" selected="0">
            <x v="0"/>
          </reference>
          <reference field="1" count="1" selected="0">
            <x v="0"/>
          </reference>
        </references>
      </pivotArea>
    </chartFormat>
    <chartFormat chart="6" format="9" series="1">
      <pivotArea type="data" outline="0" fieldPosition="0">
        <references count="2">
          <reference field="4294967294" count="1" selected="0">
            <x v="0"/>
          </reference>
          <reference field="1" count="1" selected="0">
            <x v="1"/>
          </reference>
        </references>
      </pivotArea>
    </chartFormat>
    <chartFormat chart="6" format="10" series="1">
      <pivotArea type="data" outline="0" fieldPosition="0">
        <references count="2">
          <reference field="4294967294" count="1" selected="0">
            <x v="0"/>
          </reference>
          <reference field="1" count="1" selected="0">
            <x v="2"/>
          </reference>
        </references>
      </pivotArea>
    </chartFormat>
    <chartFormat chart="6" format="11" series="1">
      <pivotArea type="data" outline="0" fieldPosition="0">
        <references count="2">
          <reference field="4294967294" count="1" selected="0">
            <x v="0"/>
          </reference>
          <reference field="1" count="1" selected="0">
            <x v="3"/>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7738C7-9713-4319-AA2E-26F7D4EFDF71}" name="PivotTable1" cacheId="3" applyNumberFormats="0" applyBorderFormats="0" applyFontFormats="0" applyPatternFormats="0" applyAlignmentFormats="0" applyWidthHeightFormats="1" dataCaption="Values" tag="15666dca-c2a8-40d3-aa90-dbaef5838221" updatedVersion="8" minRefreshableVersion="3" useAutoFormatting="1" itemPrintTitles="1" createdVersion="8" indent="0" outline="1" outlineData="1" multipleFieldFilters="0">
  <location ref="B3:C4"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fld="0" subtotal="count" baseField="0" baseItem="0"/>
    <dataField fld="1" subtotal="count" baseField="0" baseItem="0"/>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0EC6D9-1634-4BB1-9820-729F4E979101}" name="PivotTable5" cacheId="4" applyNumberFormats="0" applyBorderFormats="0" applyFontFormats="0" applyPatternFormats="0" applyAlignmentFormats="0" applyWidthHeightFormats="1" dataCaption="Values" tag="e57e3a58-5eb2-40f4-9e97-9cc970a6a7d4" updatedVersion="8" minRefreshableVersion="3" useAutoFormatting="1" subtotalHiddenItems="1" rowGrandTotals="0" colGrandTotals="0" itemPrintTitles="1" createdVersion="8" indent="0" outline="1" outlineData="1" multipleFieldFilters="0" chartFormat="15">
  <location ref="B19:D23"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4">
    <i>
      <x/>
    </i>
    <i>
      <x v="1"/>
    </i>
    <i>
      <x v="2"/>
    </i>
    <i>
      <x v="3"/>
    </i>
  </rowItems>
  <colFields count="1">
    <field x="-2"/>
  </colFields>
  <colItems count="2">
    <i>
      <x/>
    </i>
    <i i="1">
      <x v="1"/>
    </i>
  </colItems>
  <dataFields count="2">
    <dataField fld="1" subtotal="count" baseField="0" baseItem="0"/>
    <dataField fld="2" subtotal="count" baseField="0" baseItem="0"/>
  </dataFields>
  <chartFormats count="10">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1"/>
          </reference>
        </references>
      </pivotArea>
    </chartFormat>
    <chartFormat chart="11" format="12">
      <pivotArea type="data" outline="0" fieldPosition="0">
        <references count="2">
          <reference field="4294967294" count="1" selected="0">
            <x v="1"/>
          </reference>
          <reference field="0" count="1" selected="0">
            <x v="3"/>
          </reference>
        </references>
      </pivotArea>
    </chartFormat>
    <chartFormat chart="11" format="13">
      <pivotArea type="data" outline="0" fieldPosition="0">
        <references count="2">
          <reference field="4294967294" count="1" selected="0">
            <x v="1"/>
          </reference>
          <reference field="0" count="1" selected="0">
            <x v="0"/>
          </reference>
        </references>
      </pivotArea>
    </chartFormat>
    <chartFormat chart="11" format="14">
      <pivotArea type="data" outline="0" fieldPosition="0">
        <references count="2">
          <reference field="4294967294" count="1" selected="0">
            <x v="1"/>
          </reference>
          <reference field="0" count="1" selected="0">
            <x v="2"/>
          </reference>
        </references>
      </pivotArea>
    </chartFormat>
    <chartFormat chart="11" format="15">
      <pivotArea type="data" outline="0" fieldPosition="0">
        <references count="2">
          <reference field="4294967294" count="1" selected="0">
            <x v="1"/>
          </reference>
          <reference field="0" count="1" selected="0">
            <x v="1"/>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s]"/>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46D3DE-3A5E-45E4-A108-6065B590E25B}" name="PivotTable4" cacheId="0" applyNumberFormats="0" applyBorderFormats="0" applyFontFormats="0" applyPatternFormats="0" applyAlignmentFormats="0" applyWidthHeightFormats="1" dataCaption="Values" tag="54df980c-ff51-4674-b22d-b95e4da16951" updatedVersion="8" minRefreshableVersion="3" useAutoFormatting="1" subtotalHiddenItems="1" rowGrandTotals="0" colGrandTotals="0" itemPrintTitles="1" createdVersion="8" indent="0" outline="1" outlineData="1" multipleFieldFilters="0" chartFormat="13">
  <location ref="B12:D15" firstHeaderRow="0"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3">
    <i>
      <x/>
    </i>
    <i>
      <x v="1"/>
    </i>
    <i>
      <x v="2"/>
    </i>
  </rowItems>
  <colFields count="1">
    <field x="-2"/>
  </colFields>
  <colItems count="2">
    <i>
      <x/>
    </i>
    <i i="1">
      <x v="1"/>
    </i>
  </colItems>
  <dataFields count="2">
    <dataField fld="0" subtotal="count" baseField="0" baseItem="0"/>
    <dataField fld="2" subtotal="count" baseField="0" baseItem="0"/>
  </dataFields>
  <chartFormats count="7">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1"/>
          </reference>
        </references>
      </pivotArea>
    </chartFormat>
    <chartFormat chart="9" format="12">
      <pivotArea type="data" outline="0" fieldPosition="0">
        <references count="2">
          <reference field="4294967294" count="1" selected="0">
            <x v="1"/>
          </reference>
          <reference field="1" count="1" selected="0">
            <x v="1"/>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CA5715-6A8A-443F-9CB1-5AFA375C2443}" name="PivotTable3" cacheId="1" applyNumberFormats="0" applyBorderFormats="0" applyFontFormats="0" applyPatternFormats="0" applyAlignmentFormats="0" applyWidthHeightFormats="1" dataCaption="Values" tag="10214fa2-8399-4edc-bdb3-724c1df57f77" updatedVersion="8" minRefreshableVersion="3" useAutoFormatting="1" rowGrandTotals="0" colGrandTotals="0" itemPrintTitles="1" createdVersion="8" indent="0" outline="1" outlineData="1" multipleFieldFilters="0" chartFormat="16">
  <location ref="H4:I6"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2">
    <i>
      <x/>
    </i>
    <i>
      <x v="1"/>
    </i>
  </rowItems>
  <colItems count="1">
    <i/>
  </colItems>
  <dataFields count="1">
    <dataField fld="0" subtotal="count" baseField="0" baseItem="0"/>
  </dataFields>
  <chartFormats count="3">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FCF98C-6748-4610-926A-7F0B7F072599}" name="PivotTable2" cacheId="2" applyNumberFormats="0" applyBorderFormats="0" applyFontFormats="0" applyPatternFormats="0" applyAlignmentFormats="0" applyWidthHeightFormats="1" dataCaption="Values" tag="96679c25-1f6f-4f26-9671-a1a50a7dcf86" updatedVersion="8" minRefreshableVersion="3" useAutoFormatting="1" rowGrandTotals="0" colGrandTotals="0" itemPrintTitles="1" createdVersion="8" indent="0" outline="1" outlineData="1" multipleFieldFilters="0" chartFormat="7">
  <location ref="E4:F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4">
    <i>
      <x/>
    </i>
    <i>
      <x v="1"/>
    </i>
    <i>
      <x v="2"/>
    </i>
    <i>
      <x v="3"/>
    </i>
  </rowItems>
  <colItems count="1">
    <i/>
  </colItems>
  <dataFields count="1">
    <dataField fld="0" subtotal="count" baseField="0" baseItem="0"/>
  </dataField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 count="1" selected="0">
            <x v="0"/>
          </reference>
        </references>
      </pivotArea>
    </chartFormat>
    <chartFormat chart="3" format="12">
      <pivotArea type="data" outline="0" fieldPosition="0">
        <references count="2">
          <reference field="4294967294" count="1" selected="0">
            <x v="0"/>
          </reference>
          <reference field="1" count="1" selected="0">
            <x v="1"/>
          </reference>
        </references>
      </pivotArea>
    </chartFormat>
    <chartFormat chart="3" format="13">
      <pivotArea type="data" outline="0" fieldPosition="0">
        <references count="2">
          <reference field="4294967294" count="1" selected="0">
            <x v="0"/>
          </reference>
          <reference field="1" count="1" selected="0">
            <x v="2"/>
          </reference>
        </references>
      </pivotArea>
    </chartFormat>
    <chartFormat chart="3" format="14">
      <pivotArea type="data" outline="0" fieldPosition="0">
        <references count="2">
          <reference field="4294967294" count="1" selected="0">
            <x v="0"/>
          </reference>
          <reference field="1" count="1" selected="0">
            <x v="3"/>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C568585-0B72-45CE-8AB8-A8D2E9F33DC9}" autoFormatId="16" applyNumberFormats="0" applyBorderFormats="0" applyFontFormats="0" applyPatternFormats="0" applyAlignmentFormats="0" applyWidthHeightFormats="0">
  <queryTableRefresh nextId="14">
    <queryTableFields count="13">
      <queryTableField id="1" name="CustomerID" tableColumnId="1"/>
      <queryTableField id="2" name="Name" tableColumnId="2"/>
      <queryTableField id="3" name="Gender" tableColumnId="3"/>
      <queryTableField id="4" name="Age" tableColumnId="4"/>
      <queryTableField id="5" name="Region" tableColumnId="5"/>
      <queryTableField id="6" name="Occupation" tableColumnId="6"/>
      <queryTableField id="7" name="Income" tableColumnId="7"/>
      <queryTableField id="8" name="Customer_Segment" tableColumnId="8"/>
      <queryTableField id="9" name="Join_Date" tableColumnId="9"/>
      <queryTableField id="10" name="Age_Group" tableColumnId="10"/>
      <queryTableField id="11" name="Income_Bracket" tableColumnId="11"/>
      <queryTableField id="12" name="Tenure (Years)" tableColumnId="12"/>
      <queryTableField id="13" name="Tenure_Bracket"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B4DDA785-19FD-4C45-976D-9220C62B47A7}" autoFormatId="16" applyNumberFormats="0" applyBorderFormats="0" applyFontFormats="0" applyPatternFormats="0" applyAlignmentFormats="0" applyWidthHeightFormats="0">
  <queryTableRefresh nextId="2">
    <queryTableFields count="1">
      <queryTableField id="1" name="Measures" tableColumnId="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42F1D2-C97D-4943-9B7C-6EF41FC743EE}" name="customers" displayName="customers" ref="A1:M501" tableType="queryTable" totalsRowShown="0">
  <autoFilter ref="A1:M501" xr:uid="{AC42F1D2-C97D-4943-9B7C-6EF41FC743EE}"/>
  <tableColumns count="13">
    <tableColumn id="1" xr3:uid="{38029ED3-BF1F-49A2-B92D-0E2D2F52B590}" uniqueName="1" name="CustomerID" queryTableFieldId="1" dataDxfId="7"/>
    <tableColumn id="2" xr3:uid="{EF2B1C13-67E0-4A03-94B5-4A701073D170}" uniqueName="2" name="Name" queryTableFieldId="2" dataDxfId="6"/>
    <tableColumn id="3" xr3:uid="{ECB7BE22-8CCA-4A5E-8F63-12AA5DB33590}" uniqueName="3" name="Gender" queryTableFieldId="3" dataDxfId="5"/>
    <tableColumn id="4" xr3:uid="{8C1087E7-FE57-4707-AC8A-C805BF52E31B}" uniqueName="4" name="Age" queryTableFieldId="4"/>
    <tableColumn id="5" xr3:uid="{10992ECD-FF4E-4ED0-96F1-656D2427C021}" uniqueName="5" name="Region" queryTableFieldId="5" dataDxfId="4"/>
    <tableColumn id="6" xr3:uid="{FB3C60EB-E5A0-410B-BE4D-3BCBB4FF6FAD}" uniqueName="6" name="Occupation" queryTableFieldId="6" dataDxfId="3"/>
    <tableColumn id="7" xr3:uid="{088B0884-1E4E-4F15-9EEA-E3E02A752387}" uniqueName="7" name="Income" queryTableFieldId="7"/>
    <tableColumn id="8" xr3:uid="{52D6B0F3-2FDD-4091-860C-B8F51846EFCF}" uniqueName="8" name="Customer_Segment" queryTableFieldId="8" dataDxfId="2"/>
    <tableColumn id="9" xr3:uid="{32508CA7-45B8-4CD0-A58A-DC3530FC1968}" uniqueName="9" name="Join_Date" queryTableFieldId="9" dataDxfId="1"/>
    <tableColumn id="10" xr3:uid="{EFD51706-A5D8-4CD4-92DD-C6A361026FF8}" uniqueName="10" name="Age_Group" queryTableFieldId="10"/>
    <tableColumn id="11" xr3:uid="{770D395A-CF50-4026-B794-B6F30A464CD0}" uniqueName="11" name="Income_Bracket" queryTableFieldId="11"/>
    <tableColumn id="12" xr3:uid="{EC1D7978-B17E-4A49-A6BD-875FAF2AFCC9}" uniqueName="12" name="Tenure (Years)" queryTableFieldId="12"/>
    <tableColumn id="13" xr3:uid="{C270F38B-303E-45CB-8896-27F12D93DF7E}" uniqueName="13" name="Tenure_Bracket"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BC08FF-032D-49EC-9B7B-32BF2351DDED}" name="Measures" displayName="Measures" ref="A1:A2" tableType="queryTable" totalsRowShown="0">
  <autoFilter ref="A1:A2" xr:uid="{C5BC08FF-032D-49EC-9B7B-32BF2351DDED}"/>
  <tableColumns count="1">
    <tableColumn id="1" xr3:uid="{B101A7E5-E45C-4397-B7E0-1BD6E1C9A9A9}" uniqueName="1" name="Measures" queryTableFieldId="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87ED0-1659-40A5-AC66-19EF96F37D5D}">
  <dimension ref="A1:M501"/>
  <sheetViews>
    <sheetView zoomScale="79" workbookViewId="0">
      <selection activeCell="A3" sqref="A3"/>
    </sheetView>
  </sheetViews>
  <sheetFormatPr defaultRowHeight="14.5" x14ac:dyDescent="0.35"/>
  <cols>
    <col min="1" max="1" width="13.08984375" bestFit="1" customWidth="1"/>
    <col min="2" max="2" width="24.36328125" bestFit="1" customWidth="1"/>
    <col min="3" max="3" width="9.1796875" bestFit="1" customWidth="1"/>
    <col min="4" max="4" width="6.08984375" bestFit="1" customWidth="1"/>
    <col min="5" max="5" width="8.81640625" bestFit="1" customWidth="1"/>
    <col min="6" max="6" width="12.81640625" bestFit="1" customWidth="1"/>
    <col min="7" max="7" width="9.36328125" bestFit="1" customWidth="1"/>
    <col min="8" max="8" width="19.6328125" bestFit="1" customWidth="1"/>
    <col min="9" max="9" width="11.08984375" bestFit="1" customWidth="1"/>
    <col min="10" max="10" width="12" bestFit="1" customWidth="1"/>
    <col min="11" max="11" width="16.6328125" bestFit="1" customWidth="1"/>
    <col min="12" max="12" width="15.1796875" bestFit="1" customWidth="1"/>
    <col min="13" max="13" width="17.54296875" bestFit="1" customWidth="1"/>
  </cols>
  <sheetData>
    <row r="1" spans="1:13" x14ac:dyDescent="0.35">
      <c r="A1" t="s">
        <v>0</v>
      </c>
      <c r="B1" t="s">
        <v>1</v>
      </c>
      <c r="C1" t="s">
        <v>2</v>
      </c>
      <c r="D1" t="s">
        <v>3</v>
      </c>
      <c r="E1" t="s">
        <v>4</v>
      </c>
      <c r="F1" t="s">
        <v>5</v>
      </c>
      <c r="G1" t="s">
        <v>6</v>
      </c>
      <c r="H1" t="s">
        <v>7</v>
      </c>
      <c r="I1" t="s">
        <v>8</v>
      </c>
      <c r="J1" t="s">
        <v>9</v>
      </c>
      <c r="K1" t="s">
        <v>10</v>
      </c>
      <c r="L1" t="s">
        <v>11</v>
      </c>
      <c r="M1" t="s">
        <v>1043</v>
      </c>
    </row>
    <row r="2" spans="1:13" x14ac:dyDescent="0.35">
      <c r="A2" t="s">
        <v>12</v>
      </c>
      <c r="B2" t="s">
        <v>13</v>
      </c>
      <c r="C2" t="s">
        <v>14</v>
      </c>
      <c r="D2">
        <v>38</v>
      </c>
      <c r="E2" t="s">
        <v>15</v>
      </c>
      <c r="F2" t="s">
        <v>16</v>
      </c>
      <c r="G2">
        <v>191672</v>
      </c>
      <c r="H2" t="s">
        <v>17</v>
      </c>
      <c r="I2" s="1">
        <v>45041</v>
      </c>
      <c r="J2" t="s">
        <v>18</v>
      </c>
      <c r="K2" t="s">
        <v>19</v>
      </c>
      <c r="L2">
        <v>2</v>
      </c>
      <c r="M2" t="s">
        <v>1044</v>
      </c>
    </row>
    <row r="3" spans="1:13" x14ac:dyDescent="0.35">
      <c r="A3" t="s">
        <v>20</v>
      </c>
      <c r="B3" t="s">
        <v>21</v>
      </c>
      <c r="C3" t="s">
        <v>22</v>
      </c>
      <c r="D3">
        <v>49</v>
      </c>
      <c r="E3" t="s">
        <v>23</v>
      </c>
      <c r="F3" t="s">
        <v>24</v>
      </c>
      <c r="G3">
        <v>186472</v>
      </c>
      <c r="H3" t="s">
        <v>25</v>
      </c>
      <c r="I3" s="1">
        <v>44331</v>
      </c>
      <c r="J3" t="s">
        <v>26</v>
      </c>
      <c r="K3" t="s">
        <v>19</v>
      </c>
      <c r="L3">
        <v>4</v>
      </c>
      <c r="M3" t="s">
        <v>1045</v>
      </c>
    </row>
    <row r="4" spans="1:13" x14ac:dyDescent="0.35">
      <c r="A4" t="s">
        <v>27</v>
      </c>
      <c r="B4" t="s">
        <v>28</v>
      </c>
      <c r="C4" t="s">
        <v>14</v>
      </c>
      <c r="D4">
        <v>40</v>
      </c>
      <c r="E4" t="s">
        <v>15</v>
      </c>
      <c r="F4" t="s">
        <v>29</v>
      </c>
      <c r="G4">
        <v>155566</v>
      </c>
      <c r="H4" t="s">
        <v>30</v>
      </c>
      <c r="I4" s="1">
        <v>43438</v>
      </c>
      <c r="J4" t="s">
        <v>18</v>
      </c>
      <c r="K4" t="s">
        <v>19</v>
      </c>
      <c r="L4">
        <v>7</v>
      </c>
      <c r="M4" t="s">
        <v>1046</v>
      </c>
    </row>
    <row r="5" spans="1:13" x14ac:dyDescent="0.35">
      <c r="A5" t="s">
        <v>31</v>
      </c>
      <c r="B5" t="s">
        <v>32</v>
      </c>
      <c r="C5" t="s">
        <v>14</v>
      </c>
      <c r="D5">
        <v>50</v>
      </c>
      <c r="E5" t="s">
        <v>15</v>
      </c>
      <c r="F5" t="s">
        <v>33</v>
      </c>
      <c r="G5">
        <v>142744</v>
      </c>
      <c r="H5" t="s">
        <v>17</v>
      </c>
      <c r="I5" s="1">
        <v>44494</v>
      </c>
      <c r="J5" t="s">
        <v>26</v>
      </c>
      <c r="K5" t="s">
        <v>34</v>
      </c>
      <c r="L5">
        <v>4</v>
      </c>
      <c r="M5" t="s">
        <v>1045</v>
      </c>
    </row>
    <row r="6" spans="1:13" x14ac:dyDescent="0.35">
      <c r="A6" t="s">
        <v>35</v>
      </c>
      <c r="B6" t="s">
        <v>36</v>
      </c>
      <c r="C6" t="s">
        <v>14</v>
      </c>
      <c r="D6">
        <v>20</v>
      </c>
      <c r="E6" t="s">
        <v>37</v>
      </c>
      <c r="F6" t="s">
        <v>38</v>
      </c>
      <c r="G6">
        <v>109431</v>
      </c>
      <c r="H6" t="s">
        <v>25</v>
      </c>
      <c r="I6" s="1">
        <v>43309</v>
      </c>
      <c r="J6" t="s">
        <v>39</v>
      </c>
      <c r="K6" t="s">
        <v>40</v>
      </c>
      <c r="L6">
        <v>7</v>
      </c>
      <c r="M6" t="s">
        <v>1046</v>
      </c>
    </row>
    <row r="7" spans="1:13" x14ac:dyDescent="0.35">
      <c r="A7" t="s">
        <v>41</v>
      </c>
      <c r="B7" t="s">
        <v>42</v>
      </c>
      <c r="C7" t="s">
        <v>22</v>
      </c>
      <c r="D7">
        <v>35</v>
      </c>
      <c r="E7" t="s">
        <v>43</v>
      </c>
      <c r="F7" t="s">
        <v>29</v>
      </c>
      <c r="G7">
        <v>63001</v>
      </c>
      <c r="H7" t="s">
        <v>17</v>
      </c>
      <c r="I7" s="1">
        <v>42520</v>
      </c>
      <c r="J7" t="s">
        <v>18</v>
      </c>
      <c r="K7" t="s">
        <v>44</v>
      </c>
      <c r="L7">
        <v>9</v>
      </c>
      <c r="M7" t="s">
        <v>1047</v>
      </c>
    </row>
    <row r="8" spans="1:13" x14ac:dyDescent="0.35">
      <c r="A8" t="s">
        <v>45</v>
      </c>
      <c r="B8" t="s">
        <v>46</v>
      </c>
      <c r="C8" t="s">
        <v>14</v>
      </c>
      <c r="D8">
        <v>42</v>
      </c>
      <c r="E8" t="s">
        <v>15</v>
      </c>
      <c r="F8" t="s">
        <v>47</v>
      </c>
      <c r="G8">
        <v>87364</v>
      </c>
      <c r="H8" t="s">
        <v>25</v>
      </c>
      <c r="I8" s="1">
        <v>43026</v>
      </c>
      <c r="J8" t="s">
        <v>18</v>
      </c>
      <c r="K8" t="s">
        <v>40</v>
      </c>
      <c r="L8">
        <v>8</v>
      </c>
      <c r="M8" t="s">
        <v>1046</v>
      </c>
    </row>
    <row r="9" spans="1:13" x14ac:dyDescent="0.35">
      <c r="A9" t="s">
        <v>48</v>
      </c>
      <c r="B9" t="s">
        <v>49</v>
      </c>
      <c r="C9" t="s">
        <v>14</v>
      </c>
      <c r="D9">
        <v>59</v>
      </c>
      <c r="E9" t="s">
        <v>15</v>
      </c>
      <c r="F9" t="s">
        <v>47</v>
      </c>
      <c r="G9">
        <v>144988</v>
      </c>
      <c r="H9" t="s">
        <v>17</v>
      </c>
      <c r="I9" s="1">
        <v>45448</v>
      </c>
      <c r="J9" t="s">
        <v>26</v>
      </c>
      <c r="K9" t="s">
        <v>34</v>
      </c>
      <c r="L9">
        <v>1</v>
      </c>
      <c r="M9" t="s">
        <v>1044</v>
      </c>
    </row>
    <row r="10" spans="1:13" x14ac:dyDescent="0.35">
      <c r="A10" t="s">
        <v>50</v>
      </c>
      <c r="B10" t="s">
        <v>51</v>
      </c>
      <c r="C10" t="s">
        <v>14</v>
      </c>
      <c r="D10">
        <v>48</v>
      </c>
      <c r="E10" t="s">
        <v>37</v>
      </c>
      <c r="F10" t="s">
        <v>52</v>
      </c>
      <c r="G10">
        <v>65028</v>
      </c>
      <c r="H10" t="s">
        <v>25</v>
      </c>
      <c r="I10" s="1">
        <v>43507</v>
      </c>
      <c r="J10" t="s">
        <v>26</v>
      </c>
      <c r="K10" t="s">
        <v>44</v>
      </c>
      <c r="L10">
        <v>6</v>
      </c>
      <c r="M10" t="s">
        <v>1046</v>
      </c>
    </row>
    <row r="11" spans="1:13" x14ac:dyDescent="0.35">
      <c r="A11" t="s">
        <v>53</v>
      </c>
      <c r="B11" t="s">
        <v>54</v>
      </c>
      <c r="C11" t="s">
        <v>22</v>
      </c>
      <c r="D11">
        <v>71</v>
      </c>
      <c r="E11" t="s">
        <v>37</v>
      </c>
      <c r="F11" t="s">
        <v>24</v>
      </c>
      <c r="G11">
        <v>188645</v>
      </c>
      <c r="H11" t="s">
        <v>25</v>
      </c>
      <c r="I11" s="1">
        <v>42405</v>
      </c>
      <c r="J11" t="s">
        <v>55</v>
      </c>
      <c r="K11" t="s">
        <v>19</v>
      </c>
      <c r="L11">
        <v>9</v>
      </c>
      <c r="M11" t="s">
        <v>1047</v>
      </c>
    </row>
    <row r="12" spans="1:13" x14ac:dyDescent="0.35">
      <c r="A12" t="s">
        <v>56</v>
      </c>
      <c r="B12" t="s">
        <v>57</v>
      </c>
      <c r="C12" t="s">
        <v>14</v>
      </c>
      <c r="D12">
        <v>20</v>
      </c>
      <c r="E12" t="s">
        <v>43</v>
      </c>
      <c r="F12" t="s">
        <v>16</v>
      </c>
      <c r="G12">
        <v>151878</v>
      </c>
      <c r="H12" t="s">
        <v>30</v>
      </c>
      <c r="I12" s="1">
        <v>42781</v>
      </c>
      <c r="J12" t="s">
        <v>39</v>
      </c>
      <c r="K12" t="s">
        <v>34</v>
      </c>
      <c r="L12">
        <v>8</v>
      </c>
      <c r="M12" t="s">
        <v>1046</v>
      </c>
    </row>
    <row r="13" spans="1:13" x14ac:dyDescent="0.35">
      <c r="A13" t="s">
        <v>58</v>
      </c>
      <c r="B13" t="s">
        <v>59</v>
      </c>
      <c r="C13" t="s">
        <v>14</v>
      </c>
      <c r="D13">
        <v>57</v>
      </c>
      <c r="E13" t="s">
        <v>37</v>
      </c>
      <c r="F13" t="s">
        <v>24</v>
      </c>
      <c r="G13">
        <v>144343</v>
      </c>
      <c r="H13" t="s">
        <v>25</v>
      </c>
      <c r="I13" s="1">
        <v>45280</v>
      </c>
      <c r="J13" t="s">
        <v>26</v>
      </c>
      <c r="K13" t="s">
        <v>34</v>
      </c>
      <c r="L13">
        <v>2</v>
      </c>
      <c r="M13" t="s">
        <v>1044</v>
      </c>
    </row>
    <row r="14" spans="1:13" x14ac:dyDescent="0.35">
      <c r="A14" t="s">
        <v>60</v>
      </c>
      <c r="B14" t="s">
        <v>61</v>
      </c>
      <c r="C14" t="s">
        <v>14</v>
      </c>
      <c r="D14">
        <v>63</v>
      </c>
      <c r="E14" t="s">
        <v>23</v>
      </c>
      <c r="F14" t="s">
        <v>24</v>
      </c>
      <c r="G14">
        <v>148301</v>
      </c>
      <c r="H14" t="s">
        <v>17</v>
      </c>
      <c r="I14" s="1">
        <v>45018</v>
      </c>
      <c r="J14" t="s">
        <v>55</v>
      </c>
      <c r="K14" t="s">
        <v>34</v>
      </c>
      <c r="L14">
        <v>2</v>
      </c>
      <c r="M14" t="s">
        <v>1044</v>
      </c>
    </row>
    <row r="15" spans="1:13" x14ac:dyDescent="0.35">
      <c r="A15" t="s">
        <v>62</v>
      </c>
      <c r="B15" t="s">
        <v>63</v>
      </c>
      <c r="C15" t="s">
        <v>14</v>
      </c>
      <c r="D15">
        <v>41</v>
      </c>
      <c r="E15" t="s">
        <v>37</v>
      </c>
      <c r="F15" t="s">
        <v>24</v>
      </c>
      <c r="G15">
        <v>146295</v>
      </c>
      <c r="H15" t="s">
        <v>25</v>
      </c>
      <c r="I15" s="1">
        <v>42960</v>
      </c>
      <c r="J15" t="s">
        <v>18</v>
      </c>
      <c r="K15" t="s">
        <v>34</v>
      </c>
      <c r="L15">
        <v>8</v>
      </c>
      <c r="M15" t="s">
        <v>1046</v>
      </c>
    </row>
    <row r="16" spans="1:13" x14ac:dyDescent="0.35">
      <c r="A16" t="s">
        <v>64</v>
      </c>
      <c r="B16" t="s">
        <v>65</v>
      </c>
      <c r="C16" t="s">
        <v>22</v>
      </c>
      <c r="D16">
        <v>67</v>
      </c>
      <c r="E16" t="s">
        <v>23</v>
      </c>
      <c r="F16" t="s">
        <v>24</v>
      </c>
      <c r="G16">
        <v>180829</v>
      </c>
      <c r="H16" t="s">
        <v>25</v>
      </c>
      <c r="I16" s="1">
        <v>43673</v>
      </c>
      <c r="J16" t="s">
        <v>55</v>
      </c>
      <c r="K16" t="s">
        <v>19</v>
      </c>
      <c r="L16">
        <v>6</v>
      </c>
      <c r="M16" t="s">
        <v>1046</v>
      </c>
    </row>
    <row r="17" spans="1:13" x14ac:dyDescent="0.35">
      <c r="A17" t="s">
        <v>66</v>
      </c>
      <c r="B17" t="s">
        <v>67</v>
      </c>
      <c r="C17" t="s">
        <v>14</v>
      </c>
      <c r="D17">
        <v>49</v>
      </c>
      <c r="E17" t="s">
        <v>43</v>
      </c>
      <c r="F17" t="s">
        <v>33</v>
      </c>
      <c r="G17">
        <v>54636</v>
      </c>
      <c r="H17" t="s">
        <v>17</v>
      </c>
      <c r="I17" s="1">
        <v>43643</v>
      </c>
      <c r="J17" t="s">
        <v>26</v>
      </c>
      <c r="K17" t="s">
        <v>44</v>
      </c>
      <c r="L17">
        <v>6</v>
      </c>
      <c r="M17" t="s">
        <v>1046</v>
      </c>
    </row>
    <row r="18" spans="1:13" x14ac:dyDescent="0.35">
      <c r="A18" t="s">
        <v>68</v>
      </c>
      <c r="B18" t="s">
        <v>69</v>
      </c>
      <c r="C18" t="s">
        <v>22</v>
      </c>
      <c r="D18">
        <v>64</v>
      </c>
      <c r="E18" t="s">
        <v>43</v>
      </c>
      <c r="F18" t="s">
        <v>33</v>
      </c>
      <c r="G18">
        <v>199352</v>
      </c>
      <c r="H18" t="s">
        <v>17</v>
      </c>
      <c r="I18" s="1">
        <v>44375</v>
      </c>
      <c r="J18" t="s">
        <v>55</v>
      </c>
      <c r="K18" t="s">
        <v>19</v>
      </c>
      <c r="L18">
        <v>4</v>
      </c>
      <c r="M18" t="s">
        <v>1045</v>
      </c>
    </row>
    <row r="19" spans="1:13" x14ac:dyDescent="0.35">
      <c r="A19" t="s">
        <v>70</v>
      </c>
      <c r="B19" t="s">
        <v>71</v>
      </c>
      <c r="C19" t="s">
        <v>22</v>
      </c>
      <c r="D19">
        <v>39</v>
      </c>
      <c r="E19" t="s">
        <v>43</v>
      </c>
      <c r="F19" t="s">
        <v>52</v>
      </c>
      <c r="G19">
        <v>44262</v>
      </c>
      <c r="H19" t="s">
        <v>30</v>
      </c>
      <c r="I19" s="1">
        <v>45728</v>
      </c>
      <c r="J19" t="s">
        <v>18</v>
      </c>
      <c r="K19" t="s">
        <v>44</v>
      </c>
      <c r="L19">
        <v>0</v>
      </c>
      <c r="M19" t="s">
        <v>1044</v>
      </c>
    </row>
    <row r="20" spans="1:13" x14ac:dyDescent="0.35">
      <c r="A20" t="s">
        <v>72</v>
      </c>
      <c r="B20" t="s">
        <v>73</v>
      </c>
      <c r="C20" t="s">
        <v>22</v>
      </c>
      <c r="D20">
        <v>40</v>
      </c>
      <c r="E20" t="s">
        <v>43</v>
      </c>
      <c r="F20" t="s">
        <v>29</v>
      </c>
      <c r="G20">
        <v>100435</v>
      </c>
      <c r="H20" t="s">
        <v>25</v>
      </c>
      <c r="I20" s="1">
        <v>44456</v>
      </c>
      <c r="J20" t="s">
        <v>18</v>
      </c>
      <c r="K20" t="s">
        <v>40</v>
      </c>
      <c r="L20">
        <v>4</v>
      </c>
      <c r="M20" t="s">
        <v>1045</v>
      </c>
    </row>
    <row r="21" spans="1:13" x14ac:dyDescent="0.35">
      <c r="A21" t="s">
        <v>74</v>
      </c>
      <c r="B21" t="s">
        <v>75</v>
      </c>
      <c r="C21" t="s">
        <v>14</v>
      </c>
      <c r="D21">
        <v>19</v>
      </c>
      <c r="E21" t="s">
        <v>43</v>
      </c>
      <c r="F21" t="s">
        <v>47</v>
      </c>
      <c r="G21">
        <v>148583</v>
      </c>
      <c r="H21" t="s">
        <v>25</v>
      </c>
      <c r="I21" s="1">
        <v>45058</v>
      </c>
      <c r="J21" t="s">
        <v>39</v>
      </c>
      <c r="K21" t="s">
        <v>34</v>
      </c>
      <c r="L21">
        <v>2</v>
      </c>
      <c r="M21" t="s">
        <v>1044</v>
      </c>
    </row>
    <row r="22" spans="1:13" x14ac:dyDescent="0.35">
      <c r="A22" t="s">
        <v>76</v>
      </c>
      <c r="B22" t="s">
        <v>77</v>
      </c>
      <c r="C22" t="s">
        <v>22</v>
      </c>
      <c r="D22">
        <v>44</v>
      </c>
      <c r="E22" t="s">
        <v>23</v>
      </c>
      <c r="F22" t="s">
        <v>24</v>
      </c>
      <c r="G22">
        <v>189269</v>
      </c>
      <c r="H22" t="s">
        <v>17</v>
      </c>
      <c r="I22" s="1">
        <v>45414</v>
      </c>
      <c r="J22" t="s">
        <v>18</v>
      </c>
      <c r="K22" t="s">
        <v>19</v>
      </c>
      <c r="L22">
        <v>1</v>
      </c>
      <c r="M22" t="s">
        <v>1044</v>
      </c>
    </row>
    <row r="23" spans="1:13" x14ac:dyDescent="0.35">
      <c r="A23" t="s">
        <v>78</v>
      </c>
      <c r="B23" t="s">
        <v>79</v>
      </c>
      <c r="C23" t="s">
        <v>14</v>
      </c>
      <c r="D23">
        <v>59</v>
      </c>
      <c r="E23" t="s">
        <v>23</v>
      </c>
      <c r="F23" t="s">
        <v>52</v>
      </c>
      <c r="G23">
        <v>61844</v>
      </c>
      <c r="H23" t="s">
        <v>25</v>
      </c>
      <c r="I23" s="1">
        <v>45118</v>
      </c>
      <c r="J23" t="s">
        <v>26</v>
      </c>
      <c r="K23" t="s">
        <v>44</v>
      </c>
      <c r="L23">
        <v>2</v>
      </c>
      <c r="M23" t="s">
        <v>1044</v>
      </c>
    </row>
    <row r="24" spans="1:13" x14ac:dyDescent="0.35">
      <c r="A24" t="s">
        <v>80</v>
      </c>
      <c r="B24" t="s">
        <v>81</v>
      </c>
      <c r="C24" t="s">
        <v>22</v>
      </c>
      <c r="D24">
        <v>19</v>
      </c>
      <c r="E24" t="s">
        <v>43</v>
      </c>
      <c r="F24" t="s">
        <v>29</v>
      </c>
      <c r="G24">
        <v>84754</v>
      </c>
      <c r="H24" t="s">
        <v>17</v>
      </c>
      <c r="I24" s="1">
        <v>44745</v>
      </c>
      <c r="J24" t="s">
        <v>39</v>
      </c>
      <c r="K24" t="s">
        <v>40</v>
      </c>
      <c r="L24">
        <v>3</v>
      </c>
      <c r="M24" t="s">
        <v>1045</v>
      </c>
    </row>
    <row r="25" spans="1:13" x14ac:dyDescent="0.35">
      <c r="A25" t="s">
        <v>82</v>
      </c>
      <c r="B25" t="s">
        <v>83</v>
      </c>
      <c r="C25" t="s">
        <v>22</v>
      </c>
      <c r="D25">
        <v>43</v>
      </c>
      <c r="E25" t="s">
        <v>37</v>
      </c>
      <c r="F25" t="s">
        <v>47</v>
      </c>
      <c r="G25">
        <v>185229</v>
      </c>
      <c r="H25" t="s">
        <v>25</v>
      </c>
      <c r="I25" s="1">
        <v>42765</v>
      </c>
      <c r="J25" t="s">
        <v>18</v>
      </c>
      <c r="K25" t="s">
        <v>19</v>
      </c>
      <c r="L25">
        <v>8</v>
      </c>
      <c r="M25" t="s">
        <v>1046</v>
      </c>
    </row>
    <row r="26" spans="1:13" x14ac:dyDescent="0.35">
      <c r="A26" t="s">
        <v>84</v>
      </c>
      <c r="B26" t="s">
        <v>85</v>
      </c>
      <c r="C26" t="s">
        <v>22</v>
      </c>
      <c r="D26">
        <v>34</v>
      </c>
      <c r="E26" t="s">
        <v>15</v>
      </c>
      <c r="F26" t="s">
        <v>38</v>
      </c>
      <c r="G26">
        <v>97129</v>
      </c>
      <c r="H26" t="s">
        <v>17</v>
      </c>
      <c r="I26" s="1">
        <v>43718</v>
      </c>
      <c r="J26" t="s">
        <v>18</v>
      </c>
      <c r="K26" t="s">
        <v>40</v>
      </c>
      <c r="L26">
        <v>6</v>
      </c>
      <c r="M26" t="s">
        <v>1046</v>
      </c>
    </row>
    <row r="27" spans="1:13" x14ac:dyDescent="0.35">
      <c r="A27" t="s">
        <v>86</v>
      </c>
      <c r="B27" t="s">
        <v>87</v>
      </c>
      <c r="C27" t="s">
        <v>22</v>
      </c>
      <c r="D27">
        <v>57</v>
      </c>
      <c r="E27" t="s">
        <v>43</v>
      </c>
      <c r="F27" t="s">
        <v>16</v>
      </c>
      <c r="G27">
        <v>60042</v>
      </c>
      <c r="H27" t="s">
        <v>25</v>
      </c>
      <c r="I27" s="1">
        <v>44469</v>
      </c>
      <c r="J27" t="s">
        <v>26</v>
      </c>
      <c r="K27" t="s">
        <v>44</v>
      </c>
      <c r="L27">
        <v>4</v>
      </c>
      <c r="M27" t="s">
        <v>1045</v>
      </c>
    </row>
    <row r="28" spans="1:13" x14ac:dyDescent="0.35">
      <c r="A28" t="s">
        <v>88</v>
      </c>
      <c r="B28" t="s">
        <v>89</v>
      </c>
      <c r="C28" t="s">
        <v>22</v>
      </c>
      <c r="D28">
        <v>50</v>
      </c>
      <c r="E28" t="s">
        <v>37</v>
      </c>
      <c r="F28" t="s">
        <v>33</v>
      </c>
      <c r="G28">
        <v>81665</v>
      </c>
      <c r="H28" t="s">
        <v>30</v>
      </c>
      <c r="I28" s="1">
        <v>42607</v>
      </c>
      <c r="J28" t="s">
        <v>26</v>
      </c>
      <c r="K28" t="s">
        <v>40</v>
      </c>
      <c r="L28">
        <v>9</v>
      </c>
      <c r="M28" t="s">
        <v>1047</v>
      </c>
    </row>
    <row r="29" spans="1:13" x14ac:dyDescent="0.35">
      <c r="A29" t="s">
        <v>90</v>
      </c>
      <c r="B29" t="s">
        <v>91</v>
      </c>
      <c r="C29" t="s">
        <v>22</v>
      </c>
      <c r="D29">
        <v>26</v>
      </c>
      <c r="E29" t="s">
        <v>15</v>
      </c>
      <c r="F29" t="s">
        <v>38</v>
      </c>
      <c r="G29">
        <v>136953</v>
      </c>
      <c r="H29" t="s">
        <v>17</v>
      </c>
      <c r="I29" s="1">
        <v>43698</v>
      </c>
      <c r="J29" t="s">
        <v>39</v>
      </c>
      <c r="K29" t="s">
        <v>34</v>
      </c>
      <c r="L29">
        <v>6</v>
      </c>
      <c r="M29" t="s">
        <v>1046</v>
      </c>
    </row>
    <row r="30" spans="1:13" x14ac:dyDescent="0.35">
      <c r="A30" t="s">
        <v>92</v>
      </c>
      <c r="B30" t="s">
        <v>93</v>
      </c>
      <c r="C30" t="s">
        <v>22</v>
      </c>
      <c r="D30">
        <v>60</v>
      </c>
      <c r="E30" t="s">
        <v>43</v>
      </c>
      <c r="F30" t="s">
        <v>47</v>
      </c>
      <c r="G30">
        <v>178448</v>
      </c>
      <c r="H30" t="s">
        <v>30</v>
      </c>
      <c r="I30" s="1">
        <v>44834</v>
      </c>
      <c r="J30" t="s">
        <v>26</v>
      </c>
      <c r="K30" t="s">
        <v>19</v>
      </c>
      <c r="L30">
        <v>3</v>
      </c>
      <c r="M30" t="s">
        <v>1045</v>
      </c>
    </row>
    <row r="31" spans="1:13" x14ac:dyDescent="0.35">
      <c r="A31" t="s">
        <v>94</v>
      </c>
      <c r="B31" t="s">
        <v>95</v>
      </c>
      <c r="C31" t="s">
        <v>22</v>
      </c>
      <c r="D31">
        <v>71</v>
      </c>
      <c r="E31" t="s">
        <v>43</v>
      </c>
      <c r="F31" t="s">
        <v>38</v>
      </c>
      <c r="G31">
        <v>165271</v>
      </c>
      <c r="H31" t="s">
        <v>17</v>
      </c>
      <c r="I31" s="1">
        <v>44109</v>
      </c>
      <c r="J31" t="s">
        <v>55</v>
      </c>
      <c r="K31" t="s">
        <v>19</v>
      </c>
      <c r="L31">
        <v>5</v>
      </c>
      <c r="M31" t="s">
        <v>1045</v>
      </c>
    </row>
    <row r="32" spans="1:13" x14ac:dyDescent="0.35">
      <c r="A32" t="s">
        <v>96</v>
      </c>
      <c r="B32" t="s">
        <v>97</v>
      </c>
      <c r="C32" t="s">
        <v>14</v>
      </c>
      <c r="D32">
        <v>65</v>
      </c>
      <c r="E32" t="s">
        <v>23</v>
      </c>
      <c r="F32" t="s">
        <v>16</v>
      </c>
      <c r="G32">
        <v>138533</v>
      </c>
      <c r="H32" t="s">
        <v>25</v>
      </c>
      <c r="I32" s="1">
        <v>42742</v>
      </c>
      <c r="J32" t="s">
        <v>55</v>
      </c>
      <c r="K32" t="s">
        <v>34</v>
      </c>
      <c r="L32">
        <v>8</v>
      </c>
      <c r="M32" t="s">
        <v>1046</v>
      </c>
    </row>
    <row r="33" spans="1:13" x14ac:dyDescent="0.35">
      <c r="A33" t="s">
        <v>98</v>
      </c>
      <c r="B33" t="s">
        <v>99</v>
      </c>
      <c r="C33" t="s">
        <v>14</v>
      </c>
      <c r="D33">
        <v>56</v>
      </c>
      <c r="E33" t="s">
        <v>15</v>
      </c>
      <c r="F33" t="s">
        <v>52</v>
      </c>
      <c r="G33">
        <v>93781</v>
      </c>
      <c r="H33" t="s">
        <v>25</v>
      </c>
      <c r="I33" s="1">
        <v>42565</v>
      </c>
      <c r="J33" t="s">
        <v>26</v>
      </c>
      <c r="K33" t="s">
        <v>40</v>
      </c>
      <c r="L33">
        <v>9</v>
      </c>
      <c r="M33" t="s">
        <v>1047</v>
      </c>
    </row>
    <row r="34" spans="1:13" x14ac:dyDescent="0.35">
      <c r="A34" t="s">
        <v>100</v>
      </c>
      <c r="B34" t="s">
        <v>101</v>
      </c>
      <c r="C34" t="s">
        <v>22</v>
      </c>
      <c r="D34">
        <v>46</v>
      </c>
      <c r="E34" t="s">
        <v>15</v>
      </c>
      <c r="F34" t="s">
        <v>47</v>
      </c>
      <c r="G34">
        <v>86262</v>
      </c>
      <c r="H34" t="s">
        <v>17</v>
      </c>
      <c r="I34" s="1">
        <v>43698</v>
      </c>
      <c r="J34" t="s">
        <v>26</v>
      </c>
      <c r="K34" t="s">
        <v>40</v>
      </c>
      <c r="L34">
        <v>6</v>
      </c>
      <c r="M34" t="s">
        <v>1046</v>
      </c>
    </row>
    <row r="35" spans="1:13" x14ac:dyDescent="0.35">
      <c r="A35" t="s">
        <v>102</v>
      </c>
      <c r="B35" t="s">
        <v>103</v>
      </c>
      <c r="C35" t="s">
        <v>22</v>
      </c>
      <c r="D35">
        <v>59</v>
      </c>
      <c r="E35" t="s">
        <v>37</v>
      </c>
      <c r="F35" t="s">
        <v>38</v>
      </c>
      <c r="G35">
        <v>66600</v>
      </c>
      <c r="H35" t="s">
        <v>25</v>
      </c>
      <c r="I35" s="1">
        <v>44513</v>
      </c>
      <c r="J35" t="s">
        <v>26</v>
      </c>
      <c r="K35" t="s">
        <v>40</v>
      </c>
      <c r="L35">
        <v>4</v>
      </c>
      <c r="M35" t="s">
        <v>1045</v>
      </c>
    </row>
    <row r="36" spans="1:13" x14ac:dyDescent="0.35">
      <c r="A36" t="s">
        <v>104</v>
      </c>
      <c r="B36" t="s">
        <v>105</v>
      </c>
      <c r="C36" t="s">
        <v>22</v>
      </c>
      <c r="D36">
        <v>72</v>
      </c>
      <c r="E36" t="s">
        <v>23</v>
      </c>
      <c r="F36" t="s">
        <v>33</v>
      </c>
      <c r="G36">
        <v>96898</v>
      </c>
      <c r="H36" t="s">
        <v>25</v>
      </c>
      <c r="I36" s="1">
        <v>42533</v>
      </c>
      <c r="J36" t="s">
        <v>55</v>
      </c>
      <c r="K36" t="s">
        <v>40</v>
      </c>
      <c r="L36">
        <v>9</v>
      </c>
      <c r="M36" t="s">
        <v>1047</v>
      </c>
    </row>
    <row r="37" spans="1:13" x14ac:dyDescent="0.35">
      <c r="A37" t="s">
        <v>106</v>
      </c>
      <c r="B37" t="s">
        <v>107</v>
      </c>
      <c r="C37" t="s">
        <v>14</v>
      </c>
      <c r="D37">
        <v>43</v>
      </c>
      <c r="E37" t="s">
        <v>23</v>
      </c>
      <c r="F37" t="s">
        <v>33</v>
      </c>
      <c r="G37">
        <v>169369</v>
      </c>
      <c r="H37" t="s">
        <v>17</v>
      </c>
      <c r="I37" s="1">
        <v>42902</v>
      </c>
      <c r="J37" t="s">
        <v>18</v>
      </c>
      <c r="K37" t="s">
        <v>19</v>
      </c>
      <c r="L37">
        <v>8</v>
      </c>
      <c r="M37" t="s">
        <v>1046</v>
      </c>
    </row>
    <row r="38" spans="1:13" x14ac:dyDescent="0.35">
      <c r="A38" t="s">
        <v>108</v>
      </c>
      <c r="B38" t="s">
        <v>109</v>
      </c>
      <c r="C38" t="s">
        <v>22</v>
      </c>
      <c r="D38">
        <v>52</v>
      </c>
      <c r="E38" t="s">
        <v>23</v>
      </c>
      <c r="F38" t="s">
        <v>29</v>
      </c>
      <c r="G38">
        <v>50448</v>
      </c>
      <c r="H38" t="s">
        <v>17</v>
      </c>
      <c r="I38" s="1">
        <v>42922</v>
      </c>
      <c r="J38" t="s">
        <v>26</v>
      </c>
      <c r="K38" t="s">
        <v>44</v>
      </c>
      <c r="L38">
        <v>8</v>
      </c>
      <c r="M38" t="s">
        <v>1046</v>
      </c>
    </row>
    <row r="39" spans="1:13" x14ac:dyDescent="0.35">
      <c r="A39" t="s">
        <v>110</v>
      </c>
      <c r="B39" t="s">
        <v>111</v>
      </c>
      <c r="C39" t="s">
        <v>14</v>
      </c>
      <c r="D39">
        <v>67</v>
      </c>
      <c r="E39" t="s">
        <v>23</v>
      </c>
      <c r="F39" t="s">
        <v>38</v>
      </c>
      <c r="G39">
        <v>46172</v>
      </c>
      <c r="H39" t="s">
        <v>25</v>
      </c>
      <c r="I39" s="1">
        <v>44507</v>
      </c>
      <c r="J39" t="s">
        <v>55</v>
      </c>
      <c r="K39" t="s">
        <v>44</v>
      </c>
      <c r="L39">
        <v>4</v>
      </c>
      <c r="M39" t="s">
        <v>1045</v>
      </c>
    </row>
    <row r="40" spans="1:13" x14ac:dyDescent="0.35">
      <c r="A40" t="s">
        <v>112</v>
      </c>
      <c r="B40" t="s">
        <v>113</v>
      </c>
      <c r="C40" t="s">
        <v>14</v>
      </c>
      <c r="D40">
        <v>42</v>
      </c>
      <c r="E40" t="s">
        <v>15</v>
      </c>
      <c r="F40" t="s">
        <v>24</v>
      </c>
      <c r="G40">
        <v>193946</v>
      </c>
      <c r="H40" t="s">
        <v>25</v>
      </c>
      <c r="I40" s="1">
        <v>44074</v>
      </c>
      <c r="J40" t="s">
        <v>18</v>
      </c>
      <c r="K40" t="s">
        <v>19</v>
      </c>
      <c r="L40">
        <v>5</v>
      </c>
      <c r="M40" t="s">
        <v>1045</v>
      </c>
    </row>
    <row r="41" spans="1:13" x14ac:dyDescent="0.35">
      <c r="A41" t="s">
        <v>114</v>
      </c>
      <c r="B41" t="s">
        <v>115</v>
      </c>
      <c r="C41" t="s">
        <v>14</v>
      </c>
      <c r="D41">
        <v>41</v>
      </c>
      <c r="E41" t="s">
        <v>15</v>
      </c>
      <c r="F41" t="s">
        <v>38</v>
      </c>
      <c r="G41">
        <v>27657</v>
      </c>
      <c r="H41" t="s">
        <v>25</v>
      </c>
      <c r="I41" s="1">
        <v>42296</v>
      </c>
      <c r="J41" t="s">
        <v>18</v>
      </c>
      <c r="K41" t="s">
        <v>44</v>
      </c>
      <c r="L41">
        <v>10</v>
      </c>
      <c r="M41" t="s">
        <v>1047</v>
      </c>
    </row>
    <row r="42" spans="1:13" x14ac:dyDescent="0.35">
      <c r="A42" t="s">
        <v>116</v>
      </c>
      <c r="B42" t="s">
        <v>117</v>
      </c>
      <c r="C42" t="s">
        <v>14</v>
      </c>
      <c r="D42">
        <v>30</v>
      </c>
      <c r="E42" t="s">
        <v>43</v>
      </c>
      <c r="F42" t="s">
        <v>52</v>
      </c>
      <c r="G42">
        <v>176497</v>
      </c>
      <c r="H42" t="s">
        <v>25</v>
      </c>
      <c r="I42" s="1">
        <v>42853</v>
      </c>
      <c r="J42" t="s">
        <v>18</v>
      </c>
      <c r="K42" t="s">
        <v>19</v>
      </c>
      <c r="L42">
        <v>8</v>
      </c>
      <c r="M42" t="s">
        <v>1046</v>
      </c>
    </row>
    <row r="43" spans="1:13" x14ac:dyDescent="0.35">
      <c r="A43" t="s">
        <v>118</v>
      </c>
      <c r="B43" t="s">
        <v>119</v>
      </c>
      <c r="C43" t="s">
        <v>14</v>
      </c>
      <c r="D43">
        <v>24</v>
      </c>
      <c r="E43" t="s">
        <v>43</v>
      </c>
      <c r="F43" t="s">
        <v>47</v>
      </c>
      <c r="G43">
        <v>177757</v>
      </c>
      <c r="H43" t="s">
        <v>17</v>
      </c>
      <c r="I43" s="1">
        <v>42576</v>
      </c>
      <c r="J43" t="s">
        <v>39</v>
      </c>
      <c r="K43" t="s">
        <v>19</v>
      </c>
      <c r="L43">
        <v>9</v>
      </c>
      <c r="M43" t="s">
        <v>1047</v>
      </c>
    </row>
    <row r="44" spans="1:13" x14ac:dyDescent="0.35">
      <c r="A44" t="s">
        <v>120</v>
      </c>
      <c r="B44" t="s">
        <v>121</v>
      </c>
      <c r="C44" t="s">
        <v>22</v>
      </c>
      <c r="D44">
        <v>74</v>
      </c>
      <c r="E44" t="s">
        <v>23</v>
      </c>
      <c r="F44" t="s">
        <v>47</v>
      </c>
      <c r="G44">
        <v>132855</v>
      </c>
      <c r="H44" t="s">
        <v>25</v>
      </c>
      <c r="I44" s="1">
        <v>44752</v>
      </c>
      <c r="J44" t="s">
        <v>55</v>
      </c>
      <c r="K44" t="s">
        <v>34</v>
      </c>
      <c r="L44">
        <v>3</v>
      </c>
      <c r="M44" t="s">
        <v>1045</v>
      </c>
    </row>
    <row r="45" spans="1:13" x14ac:dyDescent="0.35">
      <c r="A45" t="s">
        <v>122</v>
      </c>
      <c r="B45" t="s">
        <v>123</v>
      </c>
      <c r="C45" t="s">
        <v>22</v>
      </c>
      <c r="D45">
        <v>53</v>
      </c>
      <c r="E45" t="s">
        <v>23</v>
      </c>
      <c r="F45" t="s">
        <v>52</v>
      </c>
      <c r="G45">
        <v>175650</v>
      </c>
      <c r="H45" t="s">
        <v>17</v>
      </c>
      <c r="I45" s="1">
        <v>44427</v>
      </c>
      <c r="J45" t="s">
        <v>26</v>
      </c>
      <c r="K45" t="s">
        <v>19</v>
      </c>
      <c r="L45">
        <v>4</v>
      </c>
      <c r="M45" t="s">
        <v>1045</v>
      </c>
    </row>
    <row r="46" spans="1:13" x14ac:dyDescent="0.35">
      <c r="A46" t="s">
        <v>124</v>
      </c>
      <c r="B46" t="s">
        <v>125</v>
      </c>
      <c r="C46" t="s">
        <v>22</v>
      </c>
      <c r="D46">
        <v>62</v>
      </c>
      <c r="E46" t="s">
        <v>23</v>
      </c>
      <c r="F46" t="s">
        <v>38</v>
      </c>
      <c r="G46">
        <v>179903</v>
      </c>
      <c r="H46" t="s">
        <v>17</v>
      </c>
      <c r="I46" s="1">
        <v>43636</v>
      </c>
      <c r="J46" t="s">
        <v>55</v>
      </c>
      <c r="K46" t="s">
        <v>19</v>
      </c>
      <c r="L46">
        <v>6</v>
      </c>
      <c r="M46" t="s">
        <v>1046</v>
      </c>
    </row>
    <row r="47" spans="1:13" x14ac:dyDescent="0.35">
      <c r="A47" t="s">
        <v>126</v>
      </c>
      <c r="B47" t="s">
        <v>127</v>
      </c>
      <c r="C47" t="s">
        <v>22</v>
      </c>
      <c r="D47">
        <v>37</v>
      </c>
      <c r="E47" t="s">
        <v>43</v>
      </c>
      <c r="F47" t="s">
        <v>52</v>
      </c>
      <c r="G47">
        <v>27906</v>
      </c>
      <c r="H47" t="s">
        <v>17</v>
      </c>
      <c r="I47" s="1">
        <v>44323</v>
      </c>
      <c r="J47" t="s">
        <v>18</v>
      </c>
      <c r="K47" t="s">
        <v>44</v>
      </c>
      <c r="L47">
        <v>4</v>
      </c>
      <c r="M47" t="s">
        <v>1045</v>
      </c>
    </row>
    <row r="48" spans="1:13" x14ac:dyDescent="0.35">
      <c r="A48" t="s">
        <v>128</v>
      </c>
      <c r="B48" t="s">
        <v>129</v>
      </c>
      <c r="C48" t="s">
        <v>22</v>
      </c>
      <c r="D48">
        <v>18</v>
      </c>
      <c r="E48" t="s">
        <v>37</v>
      </c>
      <c r="F48" t="s">
        <v>16</v>
      </c>
      <c r="G48">
        <v>81413</v>
      </c>
      <c r="H48" t="s">
        <v>17</v>
      </c>
      <c r="I48" s="1">
        <v>42831</v>
      </c>
      <c r="J48" t="s">
        <v>39</v>
      </c>
      <c r="K48" t="s">
        <v>40</v>
      </c>
      <c r="L48">
        <v>8</v>
      </c>
      <c r="M48" t="s">
        <v>1046</v>
      </c>
    </row>
    <row r="49" spans="1:13" x14ac:dyDescent="0.35">
      <c r="A49" t="s">
        <v>130</v>
      </c>
      <c r="B49" t="s">
        <v>131</v>
      </c>
      <c r="C49" t="s">
        <v>14</v>
      </c>
      <c r="D49">
        <v>25</v>
      </c>
      <c r="E49" t="s">
        <v>37</v>
      </c>
      <c r="F49" t="s">
        <v>52</v>
      </c>
      <c r="G49">
        <v>74028</v>
      </c>
      <c r="H49" t="s">
        <v>17</v>
      </c>
      <c r="I49" s="1">
        <v>45478</v>
      </c>
      <c r="J49" t="s">
        <v>39</v>
      </c>
      <c r="K49" t="s">
        <v>40</v>
      </c>
      <c r="L49">
        <v>1</v>
      </c>
      <c r="M49" t="s">
        <v>1044</v>
      </c>
    </row>
    <row r="50" spans="1:13" x14ac:dyDescent="0.35">
      <c r="A50" t="s">
        <v>132</v>
      </c>
      <c r="B50" t="s">
        <v>133</v>
      </c>
      <c r="C50" t="s">
        <v>22</v>
      </c>
      <c r="D50">
        <v>63</v>
      </c>
      <c r="E50" t="s">
        <v>43</v>
      </c>
      <c r="F50" t="s">
        <v>33</v>
      </c>
      <c r="G50">
        <v>27287</v>
      </c>
      <c r="H50" t="s">
        <v>17</v>
      </c>
      <c r="I50" s="1">
        <v>42750</v>
      </c>
      <c r="J50" t="s">
        <v>55</v>
      </c>
      <c r="K50" t="s">
        <v>44</v>
      </c>
      <c r="L50">
        <v>8</v>
      </c>
      <c r="M50" t="s">
        <v>1046</v>
      </c>
    </row>
    <row r="51" spans="1:13" x14ac:dyDescent="0.35">
      <c r="A51" t="s">
        <v>134</v>
      </c>
      <c r="B51" t="s">
        <v>135</v>
      </c>
      <c r="C51" t="s">
        <v>22</v>
      </c>
      <c r="D51">
        <v>33</v>
      </c>
      <c r="E51" t="s">
        <v>43</v>
      </c>
      <c r="F51" t="s">
        <v>52</v>
      </c>
      <c r="G51">
        <v>53660</v>
      </c>
      <c r="H51" t="s">
        <v>25</v>
      </c>
      <c r="I51" s="1">
        <v>44992</v>
      </c>
      <c r="J51" t="s">
        <v>18</v>
      </c>
      <c r="K51" t="s">
        <v>44</v>
      </c>
      <c r="L51">
        <v>2</v>
      </c>
      <c r="M51" t="s">
        <v>1044</v>
      </c>
    </row>
    <row r="52" spans="1:13" x14ac:dyDescent="0.35">
      <c r="A52" t="s">
        <v>136</v>
      </c>
      <c r="B52" t="s">
        <v>137</v>
      </c>
      <c r="C52" t="s">
        <v>14</v>
      </c>
      <c r="D52">
        <v>31</v>
      </c>
      <c r="E52" t="s">
        <v>43</v>
      </c>
      <c r="F52" t="s">
        <v>47</v>
      </c>
      <c r="G52">
        <v>80504</v>
      </c>
      <c r="H52" t="s">
        <v>17</v>
      </c>
      <c r="I52" s="1">
        <v>42622</v>
      </c>
      <c r="J52" t="s">
        <v>18</v>
      </c>
      <c r="K52" t="s">
        <v>40</v>
      </c>
      <c r="L52">
        <v>9</v>
      </c>
      <c r="M52" t="s">
        <v>1047</v>
      </c>
    </row>
    <row r="53" spans="1:13" x14ac:dyDescent="0.35">
      <c r="A53" t="s">
        <v>138</v>
      </c>
      <c r="B53" t="s">
        <v>139</v>
      </c>
      <c r="C53" t="s">
        <v>22</v>
      </c>
      <c r="D53">
        <v>29</v>
      </c>
      <c r="E53" t="s">
        <v>43</v>
      </c>
      <c r="F53" t="s">
        <v>33</v>
      </c>
      <c r="G53">
        <v>122979</v>
      </c>
      <c r="H53" t="s">
        <v>17</v>
      </c>
      <c r="I53" s="1">
        <v>45072</v>
      </c>
      <c r="J53" t="s">
        <v>18</v>
      </c>
      <c r="K53" t="s">
        <v>34</v>
      </c>
      <c r="L53">
        <v>2</v>
      </c>
      <c r="M53" t="s">
        <v>1044</v>
      </c>
    </row>
    <row r="54" spans="1:13" x14ac:dyDescent="0.35">
      <c r="A54" t="s">
        <v>140</v>
      </c>
      <c r="B54" t="s">
        <v>141</v>
      </c>
      <c r="C54" t="s">
        <v>14</v>
      </c>
      <c r="D54">
        <v>68</v>
      </c>
      <c r="E54" t="s">
        <v>43</v>
      </c>
      <c r="F54" t="s">
        <v>47</v>
      </c>
      <c r="G54">
        <v>54701</v>
      </c>
      <c r="H54" t="s">
        <v>17</v>
      </c>
      <c r="I54" s="1">
        <v>44740</v>
      </c>
      <c r="J54" t="s">
        <v>55</v>
      </c>
      <c r="K54" t="s">
        <v>44</v>
      </c>
      <c r="L54">
        <v>3</v>
      </c>
      <c r="M54" t="s">
        <v>1045</v>
      </c>
    </row>
    <row r="55" spans="1:13" x14ac:dyDescent="0.35">
      <c r="A55" t="s">
        <v>142</v>
      </c>
      <c r="B55" t="s">
        <v>143</v>
      </c>
      <c r="C55" t="s">
        <v>22</v>
      </c>
      <c r="D55">
        <v>40</v>
      </c>
      <c r="E55" t="s">
        <v>43</v>
      </c>
      <c r="F55" t="s">
        <v>29</v>
      </c>
      <c r="G55">
        <v>103300</v>
      </c>
      <c r="H55" t="s">
        <v>17</v>
      </c>
      <c r="I55" s="1">
        <v>44107</v>
      </c>
      <c r="J55" t="s">
        <v>18</v>
      </c>
      <c r="K55" t="s">
        <v>40</v>
      </c>
      <c r="L55">
        <v>5</v>
      </c>
      <c r="M55" t="s">
        <v>1045</v>
      </c>
    </row>
    <row r="56" spans="1:13" x14ac:dyDescent="0.35">
      <c r="A56" t="s">
        <v>144</v>
      </c>
      <c r="B56" t="s">
        <v>145</v>
      </c>
      <c r="C56" t="s">
        <v>14</v>
      </c>
      <c r="D56">
        <v>32</v>
      </c>
      <c r="E56" t="s">
        <v>23</v>
      </c>
      <c r="F56" t="s">
        <v>24</v>
      </c>
      <c r="G56">
        <v>168746</v>
      </c>
      <c r="H56" t="s">
        <v>17</v>
      </c>
      <c r="I56" s="1">
        <v>44916</v>
      </c>
      <c r="J56" t="s">
        <v>18</v>
      </c>
      <c r="K56" t="s">
        <v>19</v>
      </c>
      <c r="L56">
        <v>3</v>
      </c>
      <c r="M56" t="s">
        <v>1045</v>
      </c>
    </row>
    <row r="57" spans="1:13" x14ac:dyDescent="0.35">
      <c r="A57" t="s">
        <v>146</v>
      </c>
      <c r="B57" t="s">
        <v>147</v>
      </c>
      <c r="C57" t="s">
        <v>22</v>
      </c>
      <c r="D57">
        <v>45</v>
      </c>
      <c r="E57" t="s">
        <v>23</v>
      </c>
      <c r="F57" t="s">
        <v>47</v>
      </c>
      <c r="G57">
        <v>103560</v>
      </c>
      <c r="H57" t="s">
        <v>17</v>
      </c>
      <c r="I57" s="1">
        <v>44711</v>
      </c>
      <c r="J57" t="s">
        <v>26</v>
      </c>
      <c r="K57" t="s">
        <v>40</v>
      </c>
      <c r="L57">
        <v>3</v>
      </c>
      <c r="M57" t="s">
        <v>1045</v>
      </c>
    </row>
    <row r="58" spans="1:13" x14ac:dyDescent="0.35">
      <c r="A58" t="s">
        <v>148</v>
      </c>
      <c r="B58" t="s">
        <v>149</v>
      </c>
      <c r="C58" t="s">
        <v>22</v>
      </c>
      <c r="D58">
        <v>51</v>
      </c>
      <c r="E58" t="s">
        <v>23</v>
      </c>
      <c r="F58" t="s">
        <v>33</v>
      </c>
      <c r="G58">
        <v>174946</v>
      </c>
      <c r="H58" t="s">
        <v>25</v>
      </c>
      <c r="I58" s="1">
        <v>43671</v>
      </c>
      <c r="J58" t="s">
        <v>26</v>
      </c>
      <c r="K58" t="s">
        <v>19</v>
      </c>
      <c r="L58">
        <v>6</v>
      </c>
      <c r="M58" t="s">
        <v>1046</v>
      </c>
    </row>
    <row r="59" spans="1:13" x14ac:dyDescent="0.35">
      <c r="A59" t="s">
        <v>150</v>
      </c>
      <c r="B59" t="s">
        <v>151</v>
      </c>
      <c r="C59" t="s">
        <v>14</v>
      </c>
      <c r="D59">
        <v>19</v>
      </c>
      <c r="E59" t="s">
        <v>23</v>
      </c>
      <c r="F59" t="s">
        <v>29</v>
      </c>
      <c r="G59">
        <v>63642</v>
      </c>
      <c r="H59" t="s">
        <v>25</v>
      </c>
      <c r="I59" s="1">
        <v>43622</v>
      </c>
      <c r="J59" t="s">
        <v>39</v>
      </c>
      <c r="K59" t="s">
        <v>44</v>
      </c>
      <c r="L59">
        <v>6</v>
      </c>
      <c r="M59" t="s">
        <v>1046</v>
      </c>
    </row>
    <row r="60" spans="1:13" x14ac:dyDescent="0.35">
      <c r="A60" t="s">
        <v>152</v>
      </c>
      <c r="B60" t="s">
        <v>153</v>
      </c>
      <c r="C60" t="s">
        <v>14</v>
      </c>
      <c r="D60">
        <v>49</v>
      </c>
      <c r="E60" t="s">
        <v>43</v>
      </c>
      <c r="F60" t="s">
        <v>47</v>
      </c>
      <c r="G60">
        <v>85160</v>
      </c>
      <c r="H60" t="s">
        <v>25</v>
      </c>
      <c r="I60" s="1">
        <v>45360</v>
      </c>
      <c r="J60" t="s">
        <v>26</v>
      </c>
      <c r="K60" t="s">
        <v>40</v>
      </c>
      <c r="L60">
        <v>1</v>
      </c>
      <c r="M60" t="s">
        <v>1044</v>
      </c>
    </row>
    <row r="61" spans="1:13" x14ac:dyDescent="0.35">
      <c r="A61" t="s">
        <v>154</v>
      </c>
      <c r="B61" t="s">
        <v>155</v>
      </c>
      <c r="C61" t="s">
        <v>14</v>
      </c>
      <c r="D61">
        <v>40</v>
      </c>
      <c r="E61" t="s">
        <v>37</v>
      </c>
      <c r="F61" t="s">
        <v>16</v>
      </c>
      <c r="G61">
        <v>37602</v>
      </c>
      <c r="H61" t="s">
        <v>17</v>
      </c>
      <c r="I61" s="1">
        <v>43415</v>
      </c>
      <c r="J61" t="s">
        <v>18</v>
      </c>
      <c r="K61" t="s">
        <v>44</v>
      </c>
      <c r="L61">
        <v>7</v>
      </c>
      <c r="M61" t="s">
        <v>1046</v>
      </c>
    </row>
    <row r="62" spans="1:13" x14ac:dyDescent="0.35">
      <c r="A62" t="s">
        <v>156</v>
      </c>
      <c r="B62" t="s">
        <v>157</v>
      </c>
      <c r="C62" t="s">
        <v>14</v>
      </c>
      <c r="D62">
        <v>39</v>
      </c>
      <c r="E62" t="s">
        <v>15</v>
      </c>
      <c r="F62" t="s">
        <v>52</v>
      </c>
      <c r="G62">
        <v>123320</v>
      </c>
      <c r="H62" t="s">
        <v>17</v>
      </c>
      <c r="I62" s="1">
        <v>44878</v>
      </c>
      <c r="J62" t="s">
        <v>18</v>
      </c>
      <c r="K62" t="s">
        <v>34</v>
      </c>
      <c r="L62">
        <v>3</v>
      </c>
      <c r="M62" t="s">
        <v>1045</v>
      </c>
    </row>
    <row r="63" spans="1:13" x14ac:dyDescent="0.35">
      <c r="A63" t="s">
        <v>158</v>
      </c>
      <c r="B63" t="s">
        <v>159</v>
      </c>
      <c r="C63" t="s">
        <v>14</v>
      </c>
      <c r="D63">
        <v>68</v>
      </c>
      <c r="E63" t="s">
        <v>43</v>
      </c>
      <c r="F63" t="s">
        <v>24</v>
      </c>
      <c r="G63">
        <v>108801</v>
      </c>
      <c r="H63" t="s">
        <v>25</v>
      </c>
      <c r="I63" s="1">
        <v>45597</v>
      </c>
      <c r="J63" t="s">
        <v>55</v>
      </c>
      <c r="K63" t="s">
        <v>40</v>
      </c>
      <c r="L63">
        <v>1</v>
      </c>
      <c r="M63" t="s">
        <v>1044</v>
      </c>
    </row>
    <row r="64" spans="1:13" x14ac:dyDescent="0.35">
      <c r="A64" t="s">
        <v>160</v>
      </c>
      <c r="B64" t="s">
        <v>161</v>
      </c>
      <c r="C64" t="s">
        <v>14</v>
      </c>
      <c r="D64">
        <v>42</v>
      </c>
      <c r="E64" t="s">
        <v>15</v>
      </c>
      <c r="F64" t="s">
        <v>47</v>
      </c>
      <c r="G64">
        <v>45931</v>
      </c>
      <c r="H64" t="s">
        <v>17</v>
      </c>
      <c r="I64" s="1">
        <v>45042</v>
      </c>
      <c r="J64" t="s">
        <v>18</v>
      </c>
      <c r="K64" t="s">
        <v>44</v>
      </c>
      <c r="L64">
        <v>2</v>
      </c>
      <c r="M64" t="s">
        <v>1044</v>
      </c>
    </row>
    <row r="65" spans="1:13" x14ac:dyDescent="0.35">
      <c r="A65" t="s">
        <v>162</v>
      </c>
      <c r="B65" t="s">
        <v>163</v>
      </c>
      <c r="C65" t="s">
        <v>14</v>
      </c>
      <c r="D65">
        <v>39</v>
      </c>
      <c r="E65" t="s">
        <v>37</v>
      </c>
      <c r="F65" t="s">
        <v>29</v>
      </c>
      <c r="G65">
        <v>114377</v>
      </c>
      <c r="H65" t="s">
        <v>17</v>
      </c>
      <c r="I65" s="1">
        <v>44997</v>
      </c>
      <c r="J65" t="s">
        <v>18</v>
      </c>
      <c r="K65" t="s">
        <v>34</v>
      </c>
      <c r="L65">
        <v>2</v>
      </c>
      <c r="M65" t="s">
        <v>1044</v>
      </c>
    </row>
    <row r="66" spans="1:13" x14ac:dyDescent="0.35">
      <c r="A66" t="s">
        <v>164</v>
      </c>
      <c r="B66" t="s">
        <v>165</v>
      </c>
      <c r="C66" t="s">
        <v>14</v>
      </c>
      <c r="D66">
        <v>39</v>
      </c>
      <c r="E66" t="s">
        <v>23</v>
      </c>
      <c r="F66" t="s">
        <v>16</v>
      </c>
      <c r="G66">
        <v>49192</v>
      </c>
      <c r="H66" t="s">
        <v>17</v>
      </c>
      <c r="I66" s="1">
        <v>44119</v>
      </c>
      <c r="J66" t="s">
        <v>18</v>
      </c>
      <c r="K66" t="s">
        <v>44</v>
      </c>
      <c r="L66">
        <v>5</v>
      </c>
      <c r="M66" t="s">
        <v>1045</v>
      </c>
    </row>
    <row r="67" spans="1:13" x14ac:dyDescent="0.35">
      <c r="A67" t="s">
        <v>166</v>
      </c>
      <c r="B67" t="s">
        <v>167</v>
      </c>
      <c r="C67" t="s">
        <v>22</v>
      </c>
      <c r="D67">
        <v>66</v>
      </c>
      <c r="E67" t="s">
        <v>37</v>
      </c>
      <c r="F67" t="s">
        <v>38</v>
      </c>
      <c r="G67">
        <v>66542</v>
      </c>
      <c r="H67" t="s">
        <v>17</v>
      </c>
      <c r="I67" s="1">
        <v>43091</v>
      </c>
      <c r="J67" t="s">
        <v>55</v>
      </c>
      <c r="K67" t="s">
        <v>40</v>
      </c>
      <c r="L67">
        <v>8</v>
      </c>
      <c r="M67" t="s">
        <v>1046</v>
      </c>
    </row>
    <row r="68" spans="1:13" x14ac:dyDescent="0.35">
      <c r="A68" t="s">
        <v>168</v>
      </c>
      <c r="B68" t="s">
        <v>169</v>
      </c>
      <c r="C68" t="s">
        <v>22</v>
      </c>
      <c r="D68">
        <v>69</v>
      </c>
      <c r="E68" t="s">
        <v>43</v>
      </c>
      <c r="F68" t="s">
        <v>29</v>
      </c>
      <c r="G68">
        <v>147015</v>
      </c>
      <c r="H68" t="s">
        <v>17</v>
      </c>
      <c r="I68" s="1">
        <v>44996</v>
      </c>
      <c r="J68" t="s">
        <v>55</v>
      </c>
      <c r="K68" t="s">
        <v>34</v>
      </c>
      <c r="L68">
        <v>2</v>
      </c>
      <c r="M68" t="s">
        <v>1044</v>
      </c>
    </row>
    <row r="69" spans="1:13" x14ac:dyDescent="0.35">
      <c r="A69" t="s">
        <v>170</v>
      </c>
      <c r="B69" t="s">
        <v>171</v>
      </c>
      <c r="C69" t="s">
        <v>14</v>
      </c>
      <c r="D69">
        <v>59</v>
      </c>
      <c r="E69" t="s">
        <v>23</v>
      </c>
      <c r="F69" t="s">
        <v>52</v>
      </c>
      <c r="G69">
        <v>62520</v>
      </c>
      <c r="H69" t="s">
        <v>17</v>
      </c>
      <c r="I69" s="1">
        <v>43069</v>
      </c>
      <c r="J69" t="s">
        <v>26</v>
      </c>
      <c r="K69" t="s">
        <v>44</v>
      </c>
      <c r="L69">
        <v>8</v>
      </c>
      <c r="M69" t="s">
        <v>1046</v>
      </c>
    </row>
    <row r="70" spans="1:13" x14ac:dyDescent="0.35">
      <c r="A70" t="s">
        <v>172</v>
      </c>
      <c r="B70" t="s">
        <v>173</v>
      </c>
      <c r="C70" t="s">
        <v>22</v>
      </c>
      <c r="D70">
        <v>23</v>
      </c>
      <c r="E70" t="s">
        <v>43</v>
      </c>
      <c r="F70" t="s">
        <v>29</v>
      </c>
      <c r="G70">
        <v>84772</v>
      </c>
      <c r="H70" t="s">
        <v>17</v>
      </c>
      <c r="I70" s="1">
        <v>43341</v>
      </c>
      <c r="J70" t="s">
        <v>39</v>
      </c>
      <c r="K70" t="s">
        <v>40</v>
      </c>
      <c r="L70">
        <v>7</v>
      </c>
      <c r="M70" t="s">
        <v>1046</v>
      </c>
    </row>
    <row r="71" spans="1:13" x14ac:dyDescent="0.35">
      <c r="A71" t="s">
        <v>174</v>
      </c>
      <c r="B71" t="s">
        <v>175</v>
      </c>
      <c r="C71" t="s">
        <v>22</v>
      </c>
      <c r="D71">
        <v>32</v>
      </c>
      <c r="E71" t="s">
        <v>23</v>
      </c>
      <c r="F71" t="s">
        <v>16</v>
      </c>
      <c r="G71">
        <v>70106</v>
      </c>
      <c r="H71" t="s">
        <v>17</v>
      </c>
      <c r="I71" s="1">
        <v>45477</v>
      </c>
      <c r="J71" t="s">
        <v>18</v>
      </c>
      <c r="K71" t="s">
        <v>40</v>
      </c>
      <c r="L71">
        <v>1</v>
      </c>
      <c r="M71" t="s">
        <v>1044</v>
      </c>
    </row>
    <row r="72" spans="1:13" x14ac:dyDescent="0.35">
      <c r="A72" t="s">
        <v>176</v>
      </c>
      <c r="B72" t="s">
        <v>177</v>
      </c>
      <c r="C72" t="s">
        <v>22</v>
      </c>
      <c r="D72">
        <v>71</v>
      </c>
      <c r="E72" t="s">
        <v>15</v>
      </c>
      <c r="F72" t="s">
        <v>29</v>
      </c>
      <c r="G72">
        <v>101121</v>
      </c>
      <c r="H72" t="s">
        <v>25</v>
      </c>
      <c r="I72" s="1">
        <v>45815</v>
      </c>
      <c r="J72" t="s">
        <v>55</v>
      </c>
      <c r="K72" t="s">
        <v>40</v>
      </c>
      <c r="L72">
        <v>0</v>
      </c>
      <c r="M72" t="s">
        <v>1044</v>
      </c>
    </row>
    <row r="73" spans="1:13" x14ac:dyDescent="0.35">
      <c r="A73" t="s">
        <v>178</v>
      </c>
      <c r="B73" t="s">
        <v>179</v>
      </c>
      <c r="C73" t="s">
        <v>22</v>
      </c>
      <c r="D73">
        <v>60</v>
      </c>
      <c r="E73" t="s">
        <v>15</v>
      </c>
      <c r="F73" t="s">
        <v>16</v>
      </c>
      <c r="G73">
        <v>45559</v>
      </c>
      <c r="H73" t="s">
        <v>25</v>
      </c>
      <c r="I73" s="1">
        <v>42457</v>
      </c>
      <c r="J73" t="s">
        <v>26</v>
      </c>
      <c r="K73" t="s">
        <v>44</v>
      </c>
      <c r="L73">
        <v>9</v>
      </c>
      <c r="M73" t="s">
        <v>1047</v>
      </c>
    </row>
    <row r="74" spans="1:13" x14ac:dyDescent="0.35">
      <c r="A74" t="s">
        <v>180</v>
      </c>
      <c r="B74" t="s">
        <v>181</v>
      </c>
      <c r="C74" t="s">
        <v>14</v>
      </c>
      <c r="D74">
        <v>54</v>
      </c>
      <c r="E74" t="s">
        <v>15</v>
      </c>
      <c r="F74" t="s">
        <v>47</v>
      </c>
      <c r="G74">
        <v>125595</v>
      </c>
      <c r="H74" t="s">
        <v>25</v>
      </c>
      <c r="I74" s="1">
        <v>43929</v>
      </c>
      <c r="J74" t="s">
        <v>26</v>
      </c>
      <c r="K74" t="s">
        <v>34</v>
      </c>
      <c r="L74">
        <v>5</v>
      </c>
      <c r="M74" t="s">
        <v>1045</v>
      </c>
    </row>
    <row r="75" spans="1:13" x14ac:dyDescent="0.35">
      <c r="A75" t="s">
        <v>182</v>
      </c>
      <c r="B75" t="s">
        <v>183</v>
      </c>
      <c r="C75" t="s">
        <v>22</v>
      </c>
      <c r="D75">
        <v>50</v>
      </c>
      <c r="E75" t="s">
        <v>37</v>
      </c>
      <c r="F75" t="s">
        <v>16</v>
      </c>
      <c r="G75">
        <v>53742</v>
      </c>
      <c r="H75" t="s">
        <v>25</v>
      </c>
      <c r="I75" s="1">
        <v>45677</v>
      </c>
      <c r="J75" t="s">
        <v>26</v>
      </c>
      <c r="K75" t="s">
        <v>44</v>
      </c>
      <c r="L75">
        <v>0</v>
      </c>
      <c r="M75" t="s">
        <v>1044</v>
      </c>
    </row>
    <row r="76" spans="1:13" x14ac:dyDescent="0.35">
      <c r="A76" t="s">
        <v>184</v>
      </c>
      <c r="B76" t="s">
        <v>185</v>
      </c>
      <c r="C76" t="s">
        <v>14</v>
      </c>
      <c r="D76">
        <v>25</v>
      </c>
      <c r="E76" t="s">
        <v>43</v>
      </c>
      <c r="F76" t="s">
        <v>16</v>
      </c>
      <c r="G76">
        <v>89669</v>
      </c>
      <c r="H76" t="s">
        <v>30</v>
      </c>
      <c r="I76" s="1">
        <v>43309</v>
      </c>
      <c r="J76" t="s">
        <v>39</v>
      </c>
      <c r="K76" t="s">
        <v>40</v>
      </c>
      <c r="L76">
        <v>7</v>
      </c>
      <c r="M76" t="s">
        <v>1046</v>
      </c>
    </row>
    <row r="77" spans="1:13" x14ac:dyDescent="0.35">
      <c r="A77" t="s">
        <v>186</v>
      </c>
      <c r="B77" t="s">
        <v>187</v>
      </c>
      <c r="C77" t="s">
        <v>22</v>
      </c>
      <c r="D77">
        <v>70</v>
      </c>
      <c r="E77" t="s">
        <v>37</v>
      </c>
      <c r="F77" t="s">
        <v>24</v>
      </c>
      <c r="G77">
        <v>172826</v>
      </c>
      <c r="H77" t="s">
        <v>17</v>
      </c>
      <c r="I77" s="1">
        <v>42917</v>
      </c>
      <c r="J77" t="s">
        <v>55</v>
      </c>
      <c r="K77" t="s">
        <v>19</v>
      </c>
      <c r="L77">
        <v>8</v>
      </c>
      <c r="M77" t="s">
        <v>1046</v>
      </c>
    </row>
    <row r="78" spans="1:13" x14ac:dyDescent="0.35">
      <c r="A78" t="s">
        <v>188</v>
      </c>
      <c r="B78" t="s">
        <v>189</v>
      </c>
      <c r="C78" t="s">
        <v>22</v>
      </c>
      <c r="D78">
        <v>61</v>
      </c>
      <c r="E78" t="s">
        <v>15</v>
      </c>
      <c r="F78" t="s">
        <v>16</v>
      </c>
      <c r="G78">
        <v>155044</v>
      </c>
      <c r="H78" t="s">
        <v>17</v>
      </c>
      <c r="I78" s="1">
        <v>44584</v>
      </c>
      <c r="J78" t="s">
        <v>55</v>
      </c>
      <c r="K78" t="s">
        <v>19</v>
      </c>
      <c r="L78">
        <v>3</v>
      </c>
      <c r="M78" t="s">
        <v>1045</v>
      </c>
    </row>
    <row r="79" spans="1:13" x14ac:dyDescent="0.35">
      <c r="A79" t="s">
        <v>190</v>
      </c>
      <c r="B79" t="s">
        <v>191</v>
      </c>
      <c r="C79" t="s">
        <v>22</v>
      </c>
      <c r="D79">
        <v>61</v>
      </c>
      <c r="E79" t="s">
        <v>43</v>
      </c>
      <c r="F79" t="s">
        <v>16</v>
      </c>
      <c r="G79">
        <v>90831</v>
      </c>
      <c r="H79" t="s">
        <v>17</v>
      </c>
      <c r="I79" s="1">
        <v>43302</v>
      </c>
      <c r="J79" t="s">
        <v>55</v>
      </c>
      <c r="K79" t="s">
        <v>40</v>
      </c>
      <c r="L79">
        <v>7</v>
      </c>
      <c r="M79" t="s">
        <v>1046</v>
      </c>
    </row>
    <row r="80" spans="1:13" x14ac:dyDescent="0.35">
      <c r="A80" t="s">
        <v>192</v>
      </c>
      <c r="B80" t="s">
        <v>193</v>
      </c>
      <c r="C80" t="s">
        <v>14</v>
      </c>
      <c r="D80">
        <v>22</v>
      </c>
      <c r="E80" t="s">
        <v>15</v>
      </c>
      <c r="F80" t="s">
        <v>38</v>
      </c>
      <c r="G80">
        <v>132217</v>
      </c>
      <c r="H80" t="s">
        <v>25</v>
      </c>
      <c r="I80" s="1">
        <v>44565</v>
      </c>
      <c r="J80" t="s">
        <v>39</v>
      </c>
      <c r="K80" t="s">
        <v>34</v>
      </c>
      <c r="L80">
        <v>3</v>
      </c>
      <c r="M80" t="s">
        <v>1045</v>
      </c>
    </row>
    <row r="81" spans="1:13" x14ac:dyDescent="0.35">
      <c r="A81" t="s">
        <v>194</v>
      </c>
      <c r="B81" t="s">
        <v>195</v>
      </c>
      <c r="C81" t="s">
        <v>22</v>
      </c>
      <c r="D81">
        <v>56</v>
      </c>
      <c r="E81" t="s">
        <v>37</v>
      </c>
      <c r="F81" t="s">
        <v>47</v>
      </c>
      <c r="G81">
        <v>61873</v>
      </c>
      <c r="H81" t="s">
        <v>25</v>
      </c>
      <c r="I81" s="1">
        <v>43200</v>
      </c>
      <c r="J81" t="s">
        <v>26</v>
      </c>
      <c r="K81" t="s">
        <v>44</v>
      </c>
      <c r="L81">
        <v>7</v>
      </c>
      <c r="M81" t="s">
        <v>1046</v>
      </c>
    </row>
    <row r="82" spans="1:13" x14ac:dyDescent="0.35">
      <c r="A82" t="s">
        <v>196</v>
      </c>
      <c r="B82" t="s">
        <v>197</v>
      </c>
      <c r="C82" t="s">
        <v>14</v>
      </c>
      <c r="D82">
        <v>21</v>
      </c>
      <c r="E82" t="s">
        <v>37</v>
      </c>
      <c r="F82" t="s">
        <v>52</v>
      </c>
      <c r="G82">
        <v>126532</v>
      </c>
      <c r="H82" t="s">
        <v>17</v>
      </c>
      <c r="I82" s="1">
        <v>45011</v>
      </c>
      <c r="J82" t="s">
        <v>39</v>
      </c>
      <c r="K82" t="s">
        <v>34</v>
      </c>
      <c r="L82">
        <v>2</v>
      </c>
      <c r="M82" t="s">
        <v>1044</v>
      </c>
    </row>
    <row r="83" spans="1:13" x14ac:dyDescent="0.35">
      <c r="A83" t="s">
        <v>198</v>
      </c>
      <c r="B83" t="s">
        <v>199</v>
      </c>
      <c r="C83" t="s">
        <v>22</v>
      </c>
      <c r="D83">
        <v>23</v>
      </c>
      <c r="E83" t="s">
        <v>37</v>
      </c>
      <c r="F83" t="s">
        <v>24</v>
      </c>
      <c r="G83">
        <v>146267</v>
      </c>
      <c r="H83" t="s">
        <v>30</v>
      </c>
      <c r="I83" s="1">
        <v>45791</v>
      </c>
      <c r="J83" t="s">
        <v>39</v>
      </c>
      <c r="K83" t="s">
        <v>34</v>
      </c>
      <c r="L83">
        <v>0</v>
      </c>
      <c r="M83" t="s">
        <v>1044</v>
      </c>
    </row>
    <row r="84" spans="1:13" x14ac:dyDescent="0.35">
      <c r="A84" t="s">
        <v>200</v>
      </c>
      <c r="B84" t="s">
        <v>201</v>
      </c>
      <c r="C84" t="s">
        <v>14</v>
      </c>
      <c r="D84">
        <v>62</v>
      </c>
      <c r="E84" t="s">
        <v>15</v>
      </c>
      <c r="F84" t="s">
        <v>38</v>
      </c>
      <c r="G84">
        <v>160975</v>
      </c>
      <c r="H84" t="s">
        <v>17</v>
      </c>
      <c r="I84" s="1">
        <v>44302</v>
      </c>
      <c r="J84" t="s">
        <v>55</v>
      </c>
      <c r="K84" t="s">
        <v>19</v>
      </c>
      <c r="L84">
        <v>4</v>
      </c>
      <c r="M84" t="s">
        <v>1045</v>
      </c>
    </row>
    <row r="85" spans="1:13" x14ac:dyDescent="0.35">
      <c r="A85" t="s">
        <v>202</v>
      </c>
      <c r="B85" t="s">
        <v>203</v>
      </c>
      <c r="C85" t="s">
        <v>22</v>
      </c>
      <c r="D85">
        <v>49</v>
      </c>
      <c r="E85" t="s">
        <v>43</v>
      </c>
      <c r="F85" t="s">
        <v>33</v>
      </c>
      <c r="G85">
        <v>154092</v>
      </c>
      <c r="H85" t="s">
        <v>30</v>
      </c>
      <c r="I85" s="1">
        <v>44288</v>
      </c>
      <c r="J85" t="s">
        <v>26</v>
      </c>
      <c r="K85" t="s">
        <v>34</v>
      </c>
      <c r="L85">
        <v>4</v>
      </c>
      <c r="M85" t="s">
        <v>1045</v>
      </c>
    </row>
    <row r="86" spans="1:13" x14ac:dyDescent="0.35">
      <c r="A86" t="s">
        <v>204</v>
      </c>
      <c r="B86" t="s">
        <v>205</v>
      </c>
      <c r="C86" t="s">
        <v>14</v>
      </c>
      <c r="D86">
        <v>69</v>
      </c>
      <c r="E86" t="s">
        <v>43</v>
      </c>
      <c r="F86" t="s">
        <v>47</v>
      </c>
      <c r="G86">
        <v>61755</v>
      </c>
      <c r="H86" t="s">
        <v>17</v>
      </c>
      <c r="I86" s="1">
        <v>43838</v>
      </c>
      <c r="J86" t="s">
        <v>55</v>
      </c>
      <c r="K86" t="s">
        <v>44</v>
      </c>
      <c r="L86">
        <v>5</v>
      </c>
      <c r="M86" t="s">
        <v>1045</v>
      </c>
    </row>
    <row r="87" spans="1:13" x14ac:dyDescent="0.35">
      <c r="A87" t="s">
        <v>206</v>
      </c>
      <c r="B87" t="s">
        <v>207</v>
      </c>
      <c r="C87" t="s">
        <v>14</v>
      </c>
      <c r="D87">
        <v>47</v>
      </c>
      <c r="E87" t="s">
        <v>15</v>
      </c>
      <c r="F87" t="s">
        <v>47</v>
      </c>
      <c r="G87">
        <v>105956</v>
      </c>
      <c r="H87" t="s">
        <v>17</v>
      </c>
      <c r="I87" s="1">
        <v>44285</v>
      </c>
      <c r="J87" t="s">
        <v>26</v>
      </c>
      <c r="K87" t="s">
        <v>40</v>
      </c>
      <c r="L87">
        <v>4</v>
      </c>
      <c r="M87" t="s">
        <v>1045</v>
      </c>
    </row>
    <row r="88" spans="1:13" x14ac:dyDescent="0.35">
      <c r="A88" t="s">
        <v>208</v>
      </c>
      <c r="B88" t="s">
        <v>209</v>
      </c>
      <c r="C88" t="s">
        <v>22</v>
      </c>
      <c r="D88">
        <v>64</v>
      </c>
      <c r="E88" t="s">
        <v>43</v>
      </c>
      <c r="F88" t="s">
        <v>33</v>
      </c>
      <c r="G88">
        <v>106988</v>
      </c>
      <c r="H88" t="s">
        <v>17</v>
      </c>
      <c r="I88" s="1">
        <v>45811</v>
      </c>
      <c r="J88" t="s">
        <v>55</v>
      </c>
      <c r="K88" t="s">
        <v>40</v>
      </c>
      <c r="L88">
        <v>0</v>
      </c>
      <c r="M88" t="s">
        <v>1044</v>
      </c>
    </row>
    <row r="89" spans="1:13" x14ac:dyDescent="0.35">
      <c r="A89" t="s">
        <v>210</v>
      </c>
      <c r="B89" t="s">
        <v>211</v>
      </c>
      <c r="C89" t="s">
        <v>14</v>
      </c>
      <c r="D89">
        <v>52</v>
      </c>
      <c r="E89" t="s">
        <v>15</v>
      </c>
      <c r="F89" t="s">
        <v>52</v>
      </c>
      <c r="G89">
        <v>65648</v>
      </c>
      <c r="H89" t="s">
        <v>17</v>
      </c>
      <c r="I89" s="1">
        <v>43744</v>
      </c>
      <c r="J89" t="s">
        <v>26</v>
      </c>
      <c r="K89" t="s">
        <v>40</v>
      </c>
      <c r="L89">
        <v>6</v>
      </c>
      <c r="M89" t="s">
        <v>1046</v>
      </c>
    </row>
    <row r="90" spans="1:13" x14ac:dyDescent="0.35">
      <c r="A90" t="s">
        <v>212</v>
      </c>
      <c r="B90" t="s">
        <v>213</v>
      </c>
      <c r="C90" t="s">
        <v>22</v>
      </c>
      <c r="D90">
        <v>72</v>
      </c>
      <c r="E90" t="s">
        <v>43</v>
      </c>
      <c r="F90" t="s">
        <v>16</v>
      </c>
      <c r="G90">
        <v>145991</v>
      </c>
      <c r="H90" t="s">
        <v>17</v>
      </c>
      <c r="I90" s="1">
        <v>44205</v>
      </c>
      <c r="J90" t="s">
        <v>55</v>
      </c>
      <c r="K90" t="s">
        <v>34</v>
      </c>
      <c r="L90">
        <v>4</v>
      </c>
      <c r="M90" t="s">
        <v>1045</v>
      </c>
    </row>
    <row r="91" spans="1:13" x14ac:dyDescent="0.35">
      <c r="A91" t="s">
        <v>214</v>
      </c>
      <c r="B91" t="s">
        <v>215</v>
      </c>
      <c r="C91" t="s">
        <v>22</v>
      </c>
      <c r="D91">
        <v>57</v>
      </c>
      <c r="E91" t="s">
        <v>23</v>
      </c>
      <c r="F91" t="s">
        <v>38</v>
      </c>
      <c r="G91">
        <v>160588</v>
      </c>
      <c r="H91" t="s">
        <v>17</v>
      </c>
      <c r="I91" s="1">
        <v>42239</v>
      </c>
      <c r="J91" t="s">
        <v>26</v>
      </c>
      <c r="K91" t="s">
        <v>19</v>
      </c>
      <c r="L91">
        <v>10</v>
      </c>
      <c r="M91" t="s">
        <v>1047</v>
      </c>
    </row>
    <row r="92" spans="1:13" x14ac:dyDescent="0.35">
      <c r="A92" t="s">
        <v>216</v>
      </c>
      <c r="B92" t="s">
        <v>217</v>
      </c>
      <c r="C92" t="s">
        <v>22</v>
      </c>
      <c r="D92">
        <v>69</v>
      </c>
      <c r="E92" t="s">
        <v>23</v>
      </c>
      <c r="F92" t="s">
        <v>29</v>
      </c>
      <c r="G92">
        <v>135005</v>
      </c>
      <c r="H92" t="s">
        <v>25</v>
      </c>
      <c r="I92" s="1">
        <v>44775</v>
      </c>
      <c r="J92" t="s">
        <v>55</v>
      </c>
      <c r="K92" t="s">
        <v>34</v>
      </c>
      <c r="L92">
        <v>3</v>
      </c>
      <c r="M92" t="s">
        <v>1045</v>
      </c>
    </row>
    <row r="93" spans="1:13" x14ac:dyDescent="0.35">
      <c r="A93" t="s">
        <v>218</v>
      </c>
      <c r="B93" t="s">
        <v>219</v>
      </c>
      <c r="C93" t="s">
        <v>22</v>
      </c>
      <c r="D93">
        <v>33</v>
      </c>
      <c r="E93" t="s">
        <v>37</v>
      </c>
      <c r="F93" t="s">
        <v>24</v>
      </c>
      <c r="G93">
        <v>22396</v>
      </c>
      <c r="H93" t="s">
        <v>17</v>
      </c>
      <c r="I93" s="1">
        <v>42531</v>
      </c>
      <c r="J93" t="s">
        <v>18</v>
      </c>
      <c r="K93" t="s">
        <v>44</v>
      </c>
      <c r="L93">
        <v>9</v>
      </c>
      <c r="M93" t="s">
        <v>1047</v>
      </c>
    </row>
    <row r="94" spans="1:13" x14ac:dyDescent="0.35">
      <c r="A94" t="s">
        <v>220</v>
      </c>
      <c r="B94" t="s">
        <v>221</v>
      </c>
      <c r="C94" t="s">
        <v>22</v>
      </c>
      <c r="D94">
        <v>30</v>
      </c>
      <c r="E94" t="s">
        <v>23</v>
      </c>
      <c r="F94" t="s">
        <v>29</v>
      </c>
      <c r="G94">
        <v>104082</v>
      </c>
      <c r="H94" t="s">
        <v>17</v>
      </c>
      <c r="I94" s="1">
        <v>43102</v>
      </c>
      <c r="J94" t="s">
        <v>18</v>
      </c>
      <c r="K94" t="s">
        <v>40</v>
      </c>
      <c r="L94">
        <v>7</v>
      </c>
      <c r="M94" t="s">
        <v>1046</v>
      </c>
    </row>
    <row r="95" spans="1:13" x14ac:dyDescent="0.35">
      <c r="A95" t="s">
        <v>222</v>
      </c>
      <c r="B95" t="s">
        <v>223</v>
      </c>
      <c r="C95" t="s">
        <v>22</v>
      </c>
      <c r="D95">
        <v>67</v>
      </c>
      <c r="E95" t="s">
        <v>23</v>
      </c>
      <c r="F95" t="s">
        <v>33</v>
      </c>
      <c r="G95">
        <v>170201</v>
      </c>
      <c r="H95" t="s">
        <v>25</v>
      </c>
      <c r="I95" s="1">
        <v>45234</v>
      </c>
      <c r="J95" t="s">
        <v>55</v>
      </c>
      <c r="K95" t="s">
        <v>19</v>
      </c>
      <c r="L95">
        <v>2</v>
      </c>
      <c r="M95" t="s">
        <v>1044</v>
      </c>
    </row>
    <row r="96" spans="1:13" x14ac:dyDescent="0.35">
      <c r="A96" t="s">
        <v>224</v>
      </c>
      <c r="B96" t="s">
        <v>225</v>
      </c>
      <c r="C96" t="s">
        <v>22</v>
      </c>
      <c r="D96">
        <v>59</v>
      </c>
      <c r="E96" t="s">
        <v>23</v>
      </c>
      <c r="F96" t="s">
        <v>47</v>
      </c>
      <c r="G96">
        <v>148322</v>
      </c>
      <c r="H96" t="s">
        <v>25</v>
      </c>
      <c r="I96" s="1">
        <v>44381</v>
      </c>
      <c r="J96" t="s">
        <v>26</v>
      </c>
      <c r="K96" t="s">
        <v>34</v>
      </c>
      <c r="L96">
        <v>4</v>
      </c>
      <c r="M96" t="s">
        <v>1045</v>
      </c>
    </row>
    <row r="97" spans="1:13" x14ac:dyDescent="0.35">
      <c r="A97" t="s">
        <v>226</v>
      </c>
      <c r="B97" t="s">
        <v>227</v>
      </c>
      <c r="C97" t="s">
        <v>22</v>
      </c>
      <c r="D97">
        <v>47</v>
      </c>
      <c r="E97" t="s">
        <v>15</v>
      </c>
      <c r="F97" t="s">
        <v>52</v>
      </c>
      <c r="G97">
        <v>152663</v>
      </c>
      <c r="H97" t="s">
        <v>17</v>
      </c>
      <c r="I97" s="1">
        <v>42976</v>
      </c>
      <c r="J97" t="s">
        <v>26</v>
      </c>
      <c r="K97" t="s">
        <v>34</v>
      </c>
      <c r="L97">
        <v>8</v>
      </c>
      <c r="M97" t="s">
        <v>1046</v>
      </c>
    </row>
    <row r="98" spans="1:13" x14ac:dyDescent="0.35">
      <c r="A98" t="s">
        <v>228</v>
      </c>
      <c r="B98" t="s">
        <v>229</v>
      </c>
      <c r="C98" t="s">
        <v>22</v>
      </c>
      <c r="D98">
        <v>36</v>
      </c>
      <c r="E98" t="s">
        <v>23</v>
      </c>
      <c r="F98" t="s">
        <v>47</v>
      </c>
      <c r="G98">
        <v>31303</v>
      </c>
      <c r="H98" t="s">
        <v>17</v>
      </c>
      <c r="I98" s="1">
        <v>43091</v>
      </c>
      <c r="J98" t="s">
        <v>18</v>
      </c>
      <c r="K98" t="s">
        <v>44</v>
      </c>
      <c r="L98">
        <v>8</v>
      </c>
      <c r="M98" t="s">
        <v>1046</v>
      </c>
    </row>
    <row r="99" spans="1:13" x14ac:dyDescent="0.35">
      <c r="A99" t="s">
        <v>230</v>
      </c>
      <c r="B99" t="s">
        <v>231</v>
      </c>
      <c r="C99" t="s">
        <v>22</v>
      </c>
      <c r="D99">
        <v>34</v>
      </c>
      <c r="E99" t="s">
        <v>23</v>
      </c>
      <c r="F99" t="s">
        <v>24</v>
      </c>
      <c r="G99">
        <v>181633</v>
      </c>
      <c r="H99" t="s">
        <v>17</v>
      </c>
      <c r="I99" s="1">
        <v>45099</v>
      </c>
      <c r="J99" t="s">
        <v>18</v>
      </c>
      <c r="K99" t="s">
        <v>19</v>
      </c>
      <c r="L99">
        <v>2</v>
      </c>
      <c r="M99" t="s">
        <v>1044</v>
      </c>
    </row>
    <row r="100" spans="1:13" x14ac:dyDescent="0.35">
      <c r="A100" t="s">
        <v>232</v>
      </c>
      <c r="B100" t="s">
        <v>233</v>
      </c>
      <c r="C100" t="s">
        <v>22</v>
      </c>
      <c r="D100">
        <v>73</v>
      </c>
      <c r="E100" t="s">
        <v>37</v>
      </c>
      <c r="F100" t="s">
        <v>47</v>
      </c>
      <c r="G100">
        <v>91719</v>
      </c>
      <c r="H100" t="s">
        <v>17</v>
      </c>
      <c r="I100" s="1">
        <v>44154</v>
      </c>
      <c r="J100" t="s">
        <v>55</v>
      </c>
      <c r="K100" t="s">
        <v>40</v>
      </c>
      <c r="L100">
        <v>5</v>
      </c>
      <c r="M100" t="s">
        <v>1045</v>
      </c>
    </row>
    <row r="101" spans="1:13" x14ac:dyDescent="0.35">
      <c r="A101" t="s">
        <v>234</v>
      </c>
      <c r="B101" t="s">
        <v>235</v>
      </c>
      <c r="C101" t="s">
        <v>14</v>
      </c>
      <c r="D101">
        <v>36</v>
      </c>
      <c r="E101" t="s">
        <v>23</v>
      </c>
      <c r="F101" t="s">
        <v>47</v>
      </c>
      <c r="G101">
        <v>119616</v>
      </c>
      <c r="H101" t="s">
        <v>25</v>
      </c>
      <c r="I101" s="1">
        <v>44942</v>
      </c>
      <c r="J101" t="s">
        <v>18</v>
      </c>
      <c r="K101" t="s">
        <v>34</v>
      </c>
      <c r="L101">
        <v>2</v>
      </c>
      <c r="M101" t="s">
        <v>1044</v>
      </c>
    </row>
    <row r="102" spans="1:13" x14ac:dyDescent="0.35">
      <c r="A102" t="s">
        <v>236</v>
      </c>
      <c r="B102" t="s">
        <v>237</v>
      </c>
      <c r="C102" t="s">
        <v>14</v>
      </c>
      <c r="D102">
        <v>45</v>
      </c>
      <c r="E102" t="s">
        <v>23</v>
      </c>
      <c r="F102" t="s">
        <v>24</v>
      </c>
      <c r="G102">
        <v>144165</v>
      </c>
      <c r="H102" t="s">
        <v>17</v>
      </c>
      <c r="I102" s="1">
        <v>44018</v>
      </c>
      <c r="J102" t="s">
        <v>26</v>
      </c>
      <c r="K102" t="s">
        <v>34</v>
      </c>
      <c r="L102">
        <v>5</v>
      </c>
      <c r="M102" t="s">
        <v>1045</v>
      </c>
    </row>
    <row r="103" spans="1:13" x14ac:dyDescent="0.35">
      <c r="A103" t="s">
        <v>238</v>
      </c>
      <c r="B103" t="s">
        <v>239</v>
      </c>
      <c r="C103" t="s">
        <v>22</v>
      </c>
      <c r="D103">
        <v>72</v>
      </c>
      <c r="E103" t="s">
        <v>43</v>
      </c>
      <c r="F103" t="s">
        <v>38</v>
      </c>
      <c r="G103">
        <v>106231</v>
      </c>
      <c r="H103" t="s">
        <v>17</v>
      </c>
      <c r="I103" s="1">
        <v>44560</v>
      </c>
      <c r="J103" t="s">
        <v>55</v>
      </c>
      <c r="K103" t="s">
        <v>40</v>
      </c>
      <c r="L103">
        <v>4</v>
      </c>
      <c r="M103" t="s">
        <v>1045</v>
      </c>
    </row>
    <row r="104" spans="1:13" x14ac:dyDescent="0.35">
      <c r="A104" t="s">
        <v>240</v>
      </c>
      <c r="B104" t="s">
        <v>241</v>
      </c>
      <c r="C104" t="s">
        <v>22</v>
      </c>
      <c r="D104">
        <v>43</v>
      </c>
      <c r="E104" t="s">
        <v>37</v>
      </c>
      <c r="F104" t="s">
        <v>38</v>
      </c>
      <c r="G104">
        <v>27314</v>
      </c>
      <c r="H104" t="s">
        <v>25</v>
      </c>
      <c r="I104" s="1">
        <v>44706</v>
      </c>
      <c r="J104" t="s">
        <v>18</v>
      </c>
      <c r="K104" t="s">
        <v>44</v>
      </c>
      <c r="L104">
        <v>3</v>
      </c>
      <c r="M104" t="s">
        <v>1045</v>
      </c>
    </row>
    <row r="105" spans="1:13" x14ac:dyDescent="0.35">
      <c r="A105" t="s">
        <v>242</v>
      </c>
      <c r="B105" t="s">
        <v>243</v>
      </c>
      <c r="C105" t="s">
        <v>22</v>
      </c>
      <c r="D105">
        <v>54</v>
      </c>
      <c r="E105" t="s">
        <v>37</v>
      </c>
      <c r="F105" t="s">
        <v>24</v>
      </c>
      <c r="G105">
        <v>39623</v>
      </c>
      <c r="H105" t="s">
        <v>17</v>
      </c>
      <c r="I105" s="1">
        <v>42645</v>
      </c>
      <c r="J105" t="s">
        <v>26</v>
      </c>
      <c r="K105" t="s">
        <v>44</v>
      </c>
      <c r="L105">
        <v>9</v>
      </c>
      <c r="M105" t="s">
        <v>1047</v>
      </c>
    </row>
    <row r="106" spans="1:13" x14ac:dyDescent="0.35">
      <c r="A106" t="s">
        <v>244</v>
      </c>
      <c r="B106" t="s">
        <v>245</v>
      </c>
      <c r="C106" t="s">
        <v>22</v>
      </c>
      <c r="D106">
        <v>43</v>
      </c>
      <c r="E106" t="s">
        <v>37</v>
      </c>
      <c r="F106" t="s">
        <v>52</v>
      </c>
      <c r="G106">
        <v>125228</v>
      </c>
      <c r="H106" t="s">
        <v>17</v>
      </c>
      <c r="I106" s="1">
        <v>45748</v>
      </c>
      <c r="J106" t="s">
        <v>18</v>
      </c>
      <c r="K106" t="s">
        <v>34</v>
      </c>
      <c r="L106">
        <v>0</v>
      </c>
      <c r="M106" t="s">
        <v>1044</v>
      </c>
    </row>
    <row r="107" spans="1:13" x14ac:dyDescent="0.35">
      <c r="A107" t="s">
        <v>246</v>
      </c>
      <c r="B107" t="s">
        <v>247</v>
      </c>
      <c r="C107" t="s">
        <v>22</v>
      </c>
      <c r="D107">
        <v>70</v>
      </c>
      <c r="E107" t="s">
        <v>37</v>
      </c>
      <c r="F107" t="s">
        <v>33</v>
      </c>
      <c r="G107">
        <v>184202</v>
      </c>
      <c r="H107" t="s">
        <v>17</v>
      </c>
      <c r="I107" s="1">
        <v>42940</v>
      </c>
      <c r="J107" t="s">
        <v>55</v>
      </c>
      <c r="K107" t="s">
        <v>19</v>
      </c>
      <c r="L107">
        <v>8</v>
      </c>
      <c r="M107" t="s">
        <v>1046</v>
      </c>
    </row>
    <row r="108" spans="1:13" x14ac:dyDescent="0.35">
      <c r="A108" t="s">
        <v>248</v>
      </c>
      <c r="B108" t="s">
        <v>249</v>
      </c>
      <c r="C108" t="s">
        <v>22</v>
      </c>
      <c r="D108">
        <v>40</v>
      </c>
      <c r="E108" t="s">
        <v>37</v>
      </c>
      <c r="F108" t="s">
        <v>47</v>
      </c>
      <c r="G108">
        <v>117624</v>
      </c>
      <c r="H108" t="s">
        <v>30</v>
      </c>
      <c r="I108" s="1">
        <v>45720</v>
      </c>
      <c r="J108" t="s">
        <v>18</v>
      </c>
      <c r="K108" t="s">
        <v>34</v>
      </c>
      <c r="L108">
        <v>0</v>
      </c>
      <c r="M108" t="s">
        <v>1044</v>
      </c>
    </row>
    <row r="109" spans="1:13" x14ac:dyDescent="0.35">
      <c r="A109" t="s">
        <v>250</v>
      </c>
      <c r="B109" t="s">
        <v>251</v>
      </c>
      <c r="C109" t="s">
        <v>22</v>
      </c>
      <c r="D109">
        <v>26</v>
      </c>
      <c r="E109" t="s">
        <v>37</v>
      </c>
      <c r="F109" t="s">
        <v>52</v>
      </c>
      <c r="G109">
        <v>177364</v>
      </c>
      <c r="H109" t="s">
        <v>17</v>
      </c>
      <c r="I109" s="1">
        <v>44224</v>
      </c>
      <c r="J109" t="s">
        <v>39</v>
      </c>
      <c r="K109" t="s">
        <v>19</v>
      </c>
      <c r="L109">
        <v>4</v>
      </c>
      <c r="M109" t="s">
        <v>1045</v>
      </c>
    </row>
    <row r="110" spans="1:13" x14ac:dyDescent="0.35">
      <c r="A110" t="s">
        <v>252</v>
      </c>
      <c r="B110" t="s">
        <v>253</v>
      </c>
      <c r="C110" t="s">
        <v>22</v>
      </c>
      <c r="D110">
        <v>29</v>
      </c>
      <c r="E110" t="s">
        <v>15</v>
      </c>
      <c r="F110" t="s">
        <v>47</v>
      </c>
      <c r="G110">
        <v>131785</v>
      </c>
      <c r="H110" t="s">
        <v>25</v>
      </c>
      <c r="I110" s="1">
        <v>44077</v>
      </c>
      <c r="J110" t="s">
        <v>18</v>
      </c>
      <c r="K110" t="s">
        <v>34</v>
      </c>
      <c r="L110">
        <v>5</v>
      </c>
      <c r="M110" t="s">
        <v>1045</v>
      </c>
    </row>
    <row r="111" spans="1:13" x14ac:dyDescent="0.35">
      <c r="A111" t="s">
        <v>254</v>
      </c>
      <c r="B111" t="s">
        <v>255</v>
      </c>
      <c r="C111" t="s">
        <v>14</v>
      </c>
      <c r="D111">
        <v>70</v>
      </c>
      <c r="E111" t="s">
        <v>23</v>
      </c>
      <c r="F111" t="s">
        <v>33</v>
      </c>
      <c r="G111">
        <v>106206</v>
      </c>
      <c r="H111" t="s">
        <v>17</v>
      </c>
      <c r="I111" s="1">
        <v>43256</v>
      </c>
      <c r="J111" t="s">
        <v>55</v>
      </c>
      <c r="K111" t="s">
        <v>40</v>
      </c>
      <c r="L111">
        <v>7</v>
      </c>
      <c r="M111" t="s">
        <v>1046</v>
      </c>
    </row>
    <row r="112" spans="1:13" x14ac:dyDescent="0.35">
      <c r="A112" t="s">
        <v>256</v>
      </c>
      <c r="B112" t="s">
        <v>257</v>
      </c>
      <c r="C112" t="s">
        <v>22</v>
      </c>
      <c r="D112">
        <v>18</v>
      </c>
      <c r="E112" t="s">
        <v>37</v>
      </c>
      <c r="F112" t="s">
        <v>38</v>
      </c>
      <c r="G112">
        <v>89274</v>
      </c>
      <c r="H112" t="s">
        <v>17</v>
      </c>
      <c r="I112" s="1">
        <v>43657</v>
      </c>
      <c r="J112" t="s">
        <v>39</v>
      </c>
      <c r="K112" t="s">
        <v>40</v>
      </c>
      <c r="L112">
        <v>6</v>
      </c>
      <c r="M112" t="s">
        <v>1046</v>
      </c>
    </row>
    <row r="113" spans="1:13" x14ac:dyDescent="0.35">
      <c r="A113" t="s">
        <v>258</v>
      </c>
      <c r="B113" t="s">
        <v>259</v>
      </c>
      <c r="C113" t="s">
        <v>14</v>
      </c>
      <c r="D113">
        <v>18</v>
      </c>
      <c r="E113" t="s">
        <v>23</v>
      </c>
      <c r="F113" t="s">
        <v>52</v>
      </c>
      <c r="G113">
        <v>153541</v>
      </c>
      <c r="H113" t="s">
        <v>25</v>
      </c>
      <c r="I113" s="1">
        <v>43931</v>
      </c>
      <c r="J113" t="s">
        <v>39</v>
      </c>
      <c r="K113" t="s">
        <v>34</v>
      </c>
      <c r="L113">
        <v>5</v>
      </c>
      <c r="M113" t="s">
        <v>1045</v>
      </c>
    </row>
    <row r="114" spans="1:13" x14ac:dyDescent="0.35">
      <c r="A114" t="s">
        <v>260</v>
      </c>
      <c r="B114" t="s">
        <v>261</v>
      </c>
      <c r="C114" t="s">
        <v>22</v>
      </c>
      <c r="D114">
        <v>64</v>
      </c>
      <c r="E114" t="s">
        <v>23</v>
      </c>
      <c r="F114" t="s">
        <v>16</v>
      </c>
      <c r="G114">
        <v>73947</v>
      </c>
      <c r="H114" t="s">
        <v>30</v>
      </c>
      <c r="I114" s="1">
        <v>42445</v>
      </c>
      <c r="J114" t="s">
        <v>55</v>
      </c>
      <c r="K114" t="s">
        <v>40</v>
      </c>
      <c r="L114">
        <v>9</v>
      </c>
      <c r="M114" t="s">
        <v>1047</v>
      </c>
    </row>
    <row r="115" spans="1:13" x14ac:dyDescent="0.35">
      <c r="A115" t="s">
        <v>262</v>
      </c>
      <c r="B115" t="s">
        <v>263</v>
      </c>
      <c r="C115" t="s">
        <v>22</v>
      </c>
      <c r="D115">
        <v>51</v>
      </c>
      <c r="E115" t="s">
        <v>15</v>
      </c>
      <c r="F115" t="s">
        <v>16</v>
      </c>
      <c r="G115">
        <v>173606</v>
      </c>
      <c r="H115" t="s">
        <v>25</v>
      </c>
      <c r="I115" s="1">
        <v>43658</v>
      </c>
      <c r="J115" t="s">
        <v>26</v>
      </c>
      <c r="K115" t="s">
        <v>19</v>
      </c>
      <c r="L115">
        <v>6</v>
      </c>
      <c r="M115" t="s">
        <v>1046</v>
      </c>
    </row>
    <row r="116" spans="1:13" x14ac:dyDescent="0.35">
      <c r="A116" t="s">
        <v>264</v>
      </c>
      <c r="B116" t="s">
        <v>265</v>
      </c>
      <c r="C116" t="s">
        <v>14</v>
      </c>
      <c r="D116">
        <v>49</v>
      </c>
      <c r="E116" t="s">
        <v>37</v>
      </c>
      <c r="F116" t="s">
        <v>16</v>
      </c>
      <c r="G116">
        <v>68874</v>
      </c>
      <c r="H116" t="s">
        <v>25</v>
      </c>
      <c r="I116" s="1">
        <v>45532</v>
      </c>
      <c r="J116" t="s">
        <v>26</v>
      </c>
      <c r="K116" t="s">
        <v>40</v>
      </c>
      <c r="L116">
        <v>1</v>
      </c>
      <c r="M116" t="s">
        <v>1044</v>
      </c>
    </row>
    <row r="117" spans="1:13" x14ac:dyDescent="0.35">
      <c r="A117" t="s">
        <v>266</v>
      </c>
      <c r="B117" t="s">
        <v>267</v>
      </c>
      <c r="C117" t="s">
        <v>22</v>
      </c>
      <c r="D117">
        <v>71</v>
      </c>
      <c r="E117" t="s">
        <v>43</v>
      </c>
      <c r="F117" t="s">
        <v>38</v>
      </c>
      <c r="G117">
        <v>69708</v>
      </c>
      <c r="H117" t="s">
        <v>25</v>
      </c>
      <c r="I117" s="1">
        <v>45797</v>
      </c>
      <c r="J117" t="s">
        <v>55</v>
      </c>
      <c r="K117" t="s">
        <v>40</v>
      </c>
      <c r="L117">
        <v>0</v>
      </c>
      <c r="M117" t="s">
        <v>1044</v>
      </c>
    </row>
    <row r="118" spans="1:13" x14ac:dyDescent="0.35">
      <c r="A118" t="s">
        <v>268</v>
      </c>
      <c r="B118" t="s">
        <v>269</v>
      </c>
      <c r="C118" t="s">
        <v>14</v>
      </c>
      <c r="D118">
        <v>65</v>
      </c>
      <c r="E118" t="s">
        <v>15</v>
      </c>
      <c r="F118" t="s">
        <v>38</v>
      </c>
      <c r="G118">
        <v>94553</v>
      </c>
      <c r="H118" t="s">
        <v>17</v>
      </c>
      <c r="I118" s="1">
        <v>45706</v>
      </c>
      <c r="J118" t="s">
        <v>55</v>
      </c>
      <c r="K118" t="s">
        <v>40</v>
      </c>
      <c r="L118">
        <v>0</v>
      </c>
      <c r="M118" t="s">
        <v>1044</v>
      </c>
    </row>
    <row r="119" spans="1:13" x14ac:dyDescent="0.35">
      <c r="A119" t="s">
        <v>270</v>
      </c>
      <c r="B119" t="s">
        <v>271</v>
      </c>
      <c r="C119" t="s">
        <v>22</v>
      </c>
      <c r="D119">
        <v>42</v>
      </c>
      <c r="E119" t="s">
        <v>43</v>
      </c>
      <c r="F119" t="s">
        <v>33</v>
      </c>
      <c r="G119">
        <v>88344</v>
      </c>
      <c r="H119" t="s">
        <v>17</v>
      </c>
      <c r="I119" s="1">
        <v>45720</v>
      </c>
      <c r="J119" t="s">
        <v>18</v>
      </c>
      <c r="K119" t="s">
        <v>40</v>
      </c>
      <c r="L119">
        <v>0</v>
      </c>
      <c r="M119" t="s">
        <v>1044</v>
      </c>
    </row>
    <row r="120" spans="1:13" x14ac:dyDescent="0.35">
      <c r="A120" t="s">
        <v>272</v>
      </c>
      <c r="B120" t="s">
        <v>273</v>
      </c>
      <c r="C120" t="s">
        <v>22</v>
      </c>
      <c r="D120">
        <v>57</v>
      </c>
      <c r="E120" t="s">
        <v>23</v>
      </c>
      <c r="F120" t="s">
        <v>47</v>
      </c>
      <c r="G120">
        <v>69138</v>
      </c>
      <c r="H120" t="s">
        <v>25</v>
      </c>
      <c r="I120" s="1">
        <v>43821</v>
      </c>
      <c r="J120" t="s">
        <v>26</v>
      </c>
      <c r="K120" t="s">
        <v>40</v>
      </c>
      <c r="L120">
        <v>6</v>
      </c>
      <c r="M120" t="s">
        <v>1046</v>
      </c>
    </row>
    <row r="121" spans="1:13" x14ac:dyDescent="0.35">
      <c r="A121" t="s">
        <v>274</v>
      </c>
      <c r="B121" t="s">
        <v>275</v>
      </c>
      <c r="C121" t="s">
        <v>14</v>
      </c>
      <c r="D121">
        <v>62</v>
      </c>
      <c r="E121" t="s">
        <v>23</v>
      </c>
      <c r="F121" t="s">
        <v>33</v>
      </c>
      <c r="G121">
        <v>67638</v>
      </c>
      <c r="H121" t="s">
        <v>17</v>
      </c>
      <c r="I121" s="1">
        <v>43555</v>
      </c>
      <c r="J121" t="s">
        <v>55</v>
      </c>
      <c r="K121" t="s">
        <v>40</v>
      </c>
      <c r="L121">
        <v>6</v>
      </c>
      <c r="M121" t="s">
        <v>1046</v>
      </c>
    </row>
    <row r="122" spans="1:13" x14ac:dyDescent="0.35">
      <c r="A122" t="s">
        <v>276</v>
      </c>
      <c r="B122" t="s">
        <v>277</v>
      </c>
      <c r="C122" t="s">
        <v>22</v>
      </c>
      <c r="D122">
        <v>70</v>
      </c>
      <c r="E122" t="s">
        <v>15</v>
      </c>
      <c r="F122" t="s">
        <v>33</v>
      </c>
      <c r="G122">
        <v>98249</v>
      </c>
      <c r="H122" t="s">
        <v>25</v>
      </c>
      <c r="I122" s="1">
        <v>45094</v>
      </c>
      <c r="J122" t="s">
        <v>55</v>
      </c>
      <c r="K122" t="s">
        <v>40</v>
      </c>
      <c r="L122">
        <v>2</v>
      </c>
      <c r="M122" t="s">
        <v>1044</v>
      </c>
    </row>
    <row r="123" spans="1:13" x14ac:dyDescent="0.35">
      <c r="A123" t="s">
        <v>278</v>
      </c>
      <c r="B123" t="s">
        <v>279</v>
      </c>
      <c r="C123" t="s">
        <v>14</v>
      </c>
      <c r="D123">
        <v>18</v>
      </c>
      <c r="E123" t="s">
        <v>15</v>
      </c>
      <c r="F123" t="s">
        <v>38</v>
      </c>
      <c r="G123">
        <v>125865</v>
      </c>
      <c r="H123" t="s">
        <v>30</v>
      </c>
      <c r="I123" s="1">
        <v>42270</v>
      </c>
      <c r="J123" t="s">
        <v>39</v>
      </c>
      <c r="K123" t="s">
        <v>34</v>
      </c>
      <c r="L123">
        <v>10</v>
      </c>
      <c r="M123" t="s">
        <v>1047</v>
      </c>
    </row>
    <row r="124" spans="1:13" x14ac:dyDescent="0.35">
      <c r="A124" t="s">
        <v>280</v>
      </c>
      <c r="B124" t="s">
        <v>281</v>
      </c>
      <c r="C124" t="s">
        <v>22</v>
      </c>
      <c r="D124">
        <v>33</v>
      </c>
      <c r="E124" t="s">
        <v>43</v>
      </c>
      <c r="F124" t="s">
        <v>16</v>
      </c>
      <c r="G124">
        <v>22719</v>
      </c>
      <c r="H124" t="s">
        <v>17</v>
      </c>
      <c r="I124" s="1">
        <v>42921</v>
      </c>
      <c r="J124" t="s">
        <v>18</v>
      </c>
      <c r="K124" t="s">
        <v>44</v>
      </c>
      <c r="L124">
        <v>8</v>
      </c>
      <c r="M124" t="s">
        <v>1046</v>
      </c>
    </row>
    <row r="125" spans="1:13" x14ac:dyDescent="0.35">
      <c r="A125" t="s">
        <v>282</v>
      </c>
      <c r="B125" t="s">
        <v>283</v>
      </c>
      <c r="C125" t="s">
        <v>14</v>
      </c>
      <c r="D125">
        <v>56</v>
      </c>
      <c r="E125" t="s">
        <v>37</v>
      </c>
      <c r="F125" t="s">
        <v>29</v>
      </c>
      <c r="G125">
        <v>173962</v>
      </c>
      <c r="H125" t="s">
        <v>17</v>
      </c>
      <c r="I125" s="1">
        <v>44752</v>
      </c>
      <c r="J125" t="s">
        <v>26</v>
      </c>
      <c r="K125" t="s">
        <v>19</v>
      </c>
      <c r="L125">
        <v>3</v>
      </c>
      <c r="M125" t="s">
        <v>1045</v>
      </c>
    </row>
    <row r="126" spans="1:13" x14ac:dyDescent="0.35">
      <c r="A126" t="s">
        <v>284</v>
      </c>
      <c r="B126" t="s">
        <v>285</v>
      </c>
      <c r="C126" t="s">
        <v>14</v>
      </c>
      <c r="D126">
        <v>22</v>
      </c>
      <c r="E126" t="s">
        <v>43</v>
      </c>
      <c r="F126" t="s">
        <v>47</v>
      </c>
      <c r="G126">
        <v>187581</v>
      </c>
      <c r="H126" t="s">
        <v>25</v>
      </c>
      <c r="I126" s="1">
        <v>42754</v>
      </c>
      <c r="J126" t="s">
        <v>39</v>
      </c>
      <c r="K126" t="s">
        <v>19</v>
      </c>
      <c r="L126">
        <v>8</v>
      </c>
      <c r="M126" t="s">
        <v>1046</v>
      </c>
    </row>
    <row r="127" spans="1:13" x14ac:dyDescent="0.35">
      <c r="A127" t="s">
        <v>286</v>
      </c>
      <c r="B127" t="s">
        <v>287</v>
      </c>
      <c r="C127" t="s">
        <v>22</v>
      </c>
      <c r="D127">
        <v>39</v>
      </c>
      <c r="E127" t="s">
        <v>15</v>
      </c>
      <c r="F127" t="s">
        <v>38</v>
      </c>
      <c r="G127">
        <v>62534</v>
      </c>
      <c r="H127" t="s">
        <v>17</v>
      </c>
      <c r="I127" s="1">
        <v>43891</v>
      </c>
      <c r="J127" t="s">
        <v>18</v>
      </c>
      <c r="K127" t="s">
        <v>44</v>
      </c>
      <c r="L127">
        <v>5</v>
      </c>
      <c r="M127" t="s">
        <v>1045</v>
      </c>
    </row>
    <row r="128" spans="1:13" x14ac:dyDescent="0.35">
      <c r="A128" t="s">
        <v>288</v>
      </c>
      <c r="B128" t="s">
        <v>289</v>
      </c>
      <c r="C128" t="s">
        <v>22</v>
      </c>
      <c r="D128">
        <v>46</v>
      </c>
      <c r="E128" t="s">
        <v>43</v>
      </c>
      <c r="F128" t="s">
        <v>16</v>
      </c>
      <c r="G128">
        <v>112241</v>
      </c>
      <c r="H128" t="s">
        <v>25</v>
      </c>
      <c r="I128" s="1">
        <v>42374</v>
      </c>
      <c r="J128" t="s">
        <v>26</v>
      </c>
      <c r="K128" t="s">
        <v>34</v>
      </c>
      <c r="L128">
        <v>9</v>
      </c>
      <c r="M128" t="s">
        <v>1047</v>
      </c>
    </row>
    <row r="129" spans="1:13" x14ac:dyDescent="0.35">
      <c r="A129" t="s">
        <v>290</v>
      </c>
      <c r="B129" t="s">
        <v>291</v>
      </c>
      <c r="C129" t="s">
        <v>14</v>
      </c>
      <c r="D129">
        <v>72</v>
      </c>
      <c r="E129" t="s">
        <v>15</v>
      </c>
      <c r="F129" t="s">
        <v>52</v>
      </c>
      <c r="G129">
        <v>169859</v>
      </c>
      <c r="H129" t="s">
        <v>17</v>
      </c>
      <c r="I129" s="1">
        <v>45039</v>
      </c>
      <c r="J129" t="s">
        <v>55</v>
      </c>
      <c r="K129" t="s">
        <v>19</v>
      </c>
      <c r="L129">
        <v>2</v>
      </c>
      <c r="M129" t="s">
        <v>1044</v>
      </c>
    </row>
    <row r="130" spans="1:13" x14ac:dyDescent="0.35">
      <c r="A130" t="s">
        <v>292</v>
      </c>
      <c r="B130" t="s">
        <v>293</v>
      </c>
      <c r="C130" t="s">
        <v>22</v>
      </c>
      <c r="D130">
        <v>20</v>
      </c>
      <c r="E130" t="s">
        <v>43</v>
      </c>
      <c r="F130" t="s">
        <v>29</v>
      </c>
      <c r="G130">
        <v>146209</v>
      </c>
      <c r="H130" t="s">
        <v>25</v>
      </c>
      <c r="I130" s="1">
        <v>43517</v>
      </c>
      <c r="J130" t="s">
        <v>39</v>
      </c>
      <c r="K130" t="s">
        <v>34</v>
      </c>
      <c r="L130">
        <v>6</v>
      </c>
      <c r="M130" t="s">
        <v>1046</v>
      </c>
    </row>
    <row r="131" spans="1:13" x14ac:dyDescent="0.35">
      <c r="A131" t="s">
        <v>294</v>
      </c>
      <c r="B131" t="s">
        <v>295</v>
      </c>
      <c r="C131" t="s">
        <v>22</v>
      </c>
      <c r="D131">
        <v>29</v>
      </c>
      <c r="E131" t="s">
        <v>15</v>
      </c>
      <c r="F131" t="s">
        <v>29</v>
      </c>
      <c r="G131">
        <v>199917</v>
      </c>
      <c r="H131" t="s">
        <v>17</v>
      </c>
      <c r="I131" s="1">
        <v>45498</v>
      </c>
      <c r="J131" t="s">
        <v>18</v>
      </c>
      <c r="K131" t="s">
        <v>19</v>
      </c>
      <c r="L131">
        <v>1</v>
      </c>
      <c r="M131" t="s">
        <v>1044</v>
      </c>
    </row>
    <row r="132" spans="1:13" x14ac:dyDescent="0.35">
      <c r="A132" t="s">
        <v>296</v>
      </c>
      <c r="B132" t="s">
        <v>297</v>
      </c>
      <c r="C132" t="s">
        <v>22</v>
      </c>
      <c r="D132">
        <v>43</v>
      </c>
      <c r="E132" t="s">
        <v>15</v>
      </c>
      <c r="F132" t="s">
        <v>38</v>
      </c>
      <c r="G132">
        <v>112124</v>
      </c>
      <c r="H132" t="s">
        <v>25</v>
      </c>
      <c r="I132" s="1">
        <v>43955</v>
      </c>
      <c r="J132" t="s">
        <v>18</v>
      </c>
      <c r="K132" t="s">
        <v>34</v>
      </c>
      <c r="L132">
        <v>5</v>
      </c>
      <c r="M132" t="s">
        <v>1045</v>
      </c>
    </row>
    <row r="133" spans="1:13" x14ac:dyDescent="0.35">
      <c r="A133" t="s">
        <v>298</v>
      </c>
      <c r="B133" t="s">
        <v>299</v>
      </c>
      <c r="C133" t="s">
        <v>14</v>
      </c>
      <c r="D133">
        <v>33</v>
      </c>
      <c r="E133" t="s">
        <v>15</v>
      </c>
      <c r="F133" t="s">
        <v>24</v>
      </c>
      <c r="G133">
        <v>111659</v>
      </c>
      <c r="H133" t="s">
        <v>17</v>
      </c>
      <c r="I133" s="1">
        <v>43143</v>
      </c>
      <c r="J133" t="s">
        <v>18</v>
      </c>
      <c r="K133" t="s">
        <v>34</v>
      </c>
      <c r="L133">
        <v>7</v>
      </c>
      <c r="M133" t="s">
        <v>1046</v>
      </c>
    </row>
    <row r="134" spans="1:13" x14ac:dyDescent="0.35">
      <c r="A134" t="s">
        <v>300</v>
      </c>
      <c r="B134" t="s">
        <v>301</v>
      </c>
      <c r="C134" t="s">
        <v>14</v>
      </c>
      <c r="D134">
        <v>68</v>
      </c>
      <c r="E134" t="s">
        <v>37</v>
      </c>
      <c r="F134" t="s">
        <v>47</v>
      </c>
      <c r="G134">
        <v>184134</v>
      </c>
      <c r="H134" t="s">
        <v>17</v>
      </c>
      <c r="I134" s="1">
        <v>44454</v>
      </c>
      <c r="J134" t="s">
        <v>55</v>
      </c>
      <c r="K134" t="s">
        <v>19</v>
      </c>
      <c r="L134">
        <v>4</v>
      </c>
      <c r="M134" t="s">
        <v>1045</v>
      </c>
    </row>
    <row r="135" spans="1:13" x14ac:dyDescent="0.35">
      <c r="A135" t="s">
        <v>302</v>
      </c>
      <c r="B135" t="s">
        <v>303</v>
      </c>
      <c r="C135" t="s">
        <v>14</v>
      </c>
      <c r="D135">
        <v>54</v>
      </c>
      <c r="E135" t="s">
        <v>43</v>
      </c>
      <c r="F135" t="s">
        <v>29</v>
      </c>
      <c r="G135">
        <v>95713</v>
      </c>
      <c r="H135" t="s">
        <v>17</v>
      </c>
      <c r="I135" s="1">
        <v>43302</v>
      </c>
      <c r="J135" t="s">
        <v>26</v>
      </c>
      <c r="K135" t="s">
        <v>40</v>
      </c>
      <c r="L135">
        <v>7</v>
      </c>
      <c r="M135" t="s">
        <v>1046</v>
      </c>
    </row>
    <row r="136" spans="1:13" x14ac:dyDescent="0.35">
      <c r="A136" t="s">
        <v>304</v>
      </c>
      <c r="B136" t="s">
        <v>305</v>
      </c>
      <c r="C136" t="s">
        <v>14</v>
      </c>
      <c r="D136">
        <v>39</v>
      </c>
      <c r="E136" t="s">
        <v>43</v>
      </c>
      <c r="F136" t="s">
        <v>38</v>
      </c>
      <c r="G136">
        <v>95418</v>
      </c>
      <c r="H136" t="s">
        <v>25</v>
      </c>
      <c r="I136" s="1">
        <v>43262</v>
      </c>
      <c r="J136" t="s">
        <v>18</v>
      </c>
      <c r="K136" t="s">
        <v>40</v>
      </c>
      <c r="L136">
        <v>7</v>
      </c>
      <c r="M136" t="s">
        <v>1046</v>
      </c>
    </row>
    <row r="137" spans="1:13" x14ac:dyDescent="0.35">
      <c r="A137" t="s">
        <v>306</v>
      </c>
      <c r="B137" t="s">
        <v>307</v>
      </c>
      <c r="C137" t="s">
        <v>14</v>
      </c>
      <c r="D137">
        <v>74</v>
      </c>
      <c r="E137" t="s">
        <v>43</v>
      </c>
      <c r="F137" t="s">
        <v>38</v>
      </c>
      <c r="G137">
        <v>148232</v>
      </c>
      <c r="H137" t="s">
        <v>25</v>
      </c>
      <c r="I137" s="1">
        <v>45439</v>
      </c>
      <c r="J137" t="s">
        <v>55</v>
      </c>
      <c r="K137" t="s">
        <v>34</v>
      </c>
      <c r="L137">
        <v>1</v>
      </c>
      <c r="M137" t="s">
        <v>1044</v>
      </c>
    </row>
    <row r="138" spans="1:13" x14ac:dyDescent="0.35">
      <c r="A138" t="s">
        <v>308</v>
      </c>
      <c r="B138" t="s">
        <v>309</v>
      </c>
      <c r="C138" t="s">
        <v>14</v>
      </c>
      <c r="D138">
        <v>46</v>
      </c>
      <c r="E138" t="s">
        <v>15</v>
      </c>
      <c r="F138" t="s">
        <v>16</v>
      </c>
      <c r="G138">
        <v>185904</v>
      </c>
      <c r="H138" t="s">
        <v>17</v>
      </c>
      <c r="I138" s="1">
        <v>43594</v>
      </c>
      <c r="J138" t="s">
        <v>26</v>
      </c>
      <c r="K138" t="s">
        <v>19</v>
      </c>
      <c r="L138">
        <v>6</v>
      </c>
      <c r="M138" t="s">
        <v>1046</v>
      </c>
    </row>
    <row r="139" spans="1:13" x14ac:dyDescent="0.35">
      <c r="A139" t="s">
        <v>310</v>
      </c>
      <c r="B139" t="s">
        <v>311</v>
      </c>
      <c r="C139" t="s">
        <v>14</v>
      </c>
      <c r="D139">
        <v>31</v>
      </c>
      <c r="E139" t="s">
        <v>43</v>
      </c>
      <c r="F139" t="s">
        <v>52</v>
      </c>
      <c r="G139">
        <v>183038</v>
      </c>
      <c r="H139" t="s">
        <v>17</v>
      </c>
      <c r="I139" s="1">
        <v>42817</v>
      </c>
      <c r="J139" t="s">
        <v>18</v>
      </c>
      <c r="K139" t="s">
        <v>19</v>
      </c>
      <c r="L139">
        <v>8</v>
      </c>
      <c r="M139" t="s">
        <v>1046</v>
      </c>
    </row>
    <row r="140" spans="1:13" x14ac:dyDescent="0.35">
      <c r="A140" t="s">
        <v>312</v>
      </c>
      <c r="B140" t="s">
        <v>313</v>
      </c>
      <c r="C140" t="s">
        <v>14</v>
      </c>
      <c r="D140">
        <v>45</v>
      </c>
      <c r="E140" t="s">
        <v>43</v>
      </c>
      <c r="F140" t="s">
        <v>24</v>
      </c>
      <c r="G140">
        <v>164059</v>
      </c>
      <c r="H140" t="s">
        <v>17</v>
      </c>
      <c r="I140" s="1">
        <v>45619</v>
      </c>
      <c r="J140" t="s">
        <v>26</v>
      </c>
      <c r="K140" t="s">
        <v>19</v>
      </c>
      <c r="L140">
        <v>1</v>
      </c>
      <c r="M140" t="s">
        <v>1044</v>
      </c>
    </row>
    <row r="141" spans="1:13" x14ac:dyDescent="0.35">
      <c r="A141" t="s">
        <v>314</v>
      </c>
      <c r="B141" t="s">
        <v>315</v>
      </c>
      <c r="C141" t="s">
        <v>14</v>
      </c>
      <c r="D141">
        <v>22</v>
      </c>
      <c r="E141" t="s">
        <v>15</v>
      </c>
      <c r="F141" t="s">
        <v>47</v>
      </c>
      <c r="G141">
        <v>188383</v>
      </c>
      <c r="H141" t="s">
        <v>25</v>
      </c>
      <c r="I141" s="1">
        <v>43371</v>
      </c>
      <c r="J141" t="s">
        <v>39</v>
      </c>
      <c r="K141" t="s">
        <v>19</v>
      </c>
      <c r="L141">
        <v>7</v>
      </c>
      <c r="M141" t="s">
        <v>1046</v>
      </c>
    </row>
    <row r="142" spans="1:13" x14ac:dyDescent="0.35">
      <c r="A142" t="s">
        <v>316</v>
      </c>
      <c r="B142" t="s">
        <v>317</v>
      </c>
      <c r="C142" t="s">
        <v>22</v>
      </c>
      <c r="D142">
        <v>64</v>
      </c>
      <c r="E142" t="s">
        <v>23</v>
      </c>
      <c r="F142" t="s">
        <v>33</v>
      </c>
      <c r="G142">
        <v>51575</v>
      </c>
      <c r="H142" t="s">
        <v>25</v>
      </c>
      <c r="I142" s="1">
        <v>43326</v>
      </c>
      <c r="J142" t="s">
        <v>55</v>
      </c>
      <c r="K142" t="s">
        <v>44</v>
      </c>
      <c r="L142">
        <v>7</v>
      </c>
      <c r="M142" t="s">
        <v>1046</v>
      </c>
    </row>
    <row r="143" spans="1:13" x14ac:dyDescent="0.35">
      <c r="A143" t="s">
        <v>318</v>
      </c>
      <c r="B143" t="s">
        <v>319</v>
      </c>
      <c r="C143" t="s">
        <v>14</v>
      </c>
      <c r="D143">
        <v>66</v>
      </c>
      <c r="E143" t="s">
        <v>15</v>
      </c>
      <c r="F143" t="s">
        <v>52</v>
      </c>
      <c r="G143">
        <v>83852</v>
      </c>
      <c r="H143" t="s">
        <v>17</v>
      </c>
      <c r="I143" s="1">
        <v>45560</v>
      </c>
      <c r="J143" t="s">
        <v>55</v>
      </c>
      <c r="K143" t="s">
        <v>40</v>
      </c>
      <c r="L143">
        <v>1</v>
      </c>
      <c r="M143" t="s">
        <v>1044</v>
      </c>
    </row>
    <row r="144" spans="1:13" x14ac:dyDescent="0.35">
      <c r="A144" t="s">
        <v>320</v>
      </c>
      <c r="B144" t="s">
        <v>321</v>
      </c>
      <c r="C144" t="s">
        <v>22</v>
      </c>
      <c r="D144">
        <v>47</v>
      </c>
      <c r="E144" t="s">
        <v>43</v>
      </c>
      <c r="F144" t="s">
        <v>52</v>
      </c>
      <c r="G144">
        <v>152079</v>
      </c>
      <c r="H144" t="s">
        <v>17</v>
      </c>
      <c r="I144" s="1">
        <v>44528</v>
      </c>
      <c r="J144" t="s">
        <v>26</v>
      </c>
      <c r="K144" t="s">
        <v>34</v>
      </c>
      <c r="L144">
        <v>4</v>
      </c>
      <c r="M144" t="s">
        <v>1045</v>
      </c>
    </row>
    <row r="145" spans="1:13" x14ac:dyDescent="0.35">
      <c r="A145" t="s">
        <v>322</v>
      </c>
      <c r="B145" t="s">
        <v>323</v>
      </c>
      <c r="C145" t="s">
        <v>22</v>
      </c>
      <c r="D145">
        <v>63</v>
      </c>
      <c r="E145" t="s">
        <v>15</v>
      </c>
      <c r="F145" t="s">
        <v>16</v>
      </c>
      <c r="G145">
        <v>96242</v>
      </c>
      <c r="H145" t="s">
        <v>17</v>
      </c>
      <c r="I145" s="1">
        <v>43084</v>
      </c>
      <c r="J145" t="s">
        <v>55</v>
      </c>
      <c r="K145" t="s">
        <v>40</v>
      </c>
      <c r="L145">
        <v>8</v>
      </c>
      <c r="M145" t="s">
        <v>1046</v>
      </c>
    </row>
    <row r="146" spans="1:13" x14ac:dyDescent="0.35">
      <c r="A146" t="s">
        <v>324</v>
      </c>
      <c r="B146" t="s">
        <v>325</v>
      </c>
      <c r="C146" t="s">
        <v>22</v>
      </c>
      <c r="D146">
        <v>69</v>
      </c>
      <c r="E146" t="s">
        <v>23</v>
      </c>
      <c r="F146" t="s">
        <v>29</v>
      </c>
      <c r="G146">
        <v>198589</v>
      </c>
      <c r="H146" t="s">
        <v>17</v>
      </c>
      <c r="I146" s="1">
        <v>43588</v>
      </c>
      <c r="J146" t="s">
        <v>55</v>
      </c>
      <c r="K146" t="s">
        <v>19</v>
      </c>
      <c r="L146">
        <v>6</v>
      </c>
      <c r="M146" t="s">
        <v>1046</v>
      </c>
    </row>
    <row r="147" spans="1:13" x14ac:dyDescent="0.35">
      <c r="A147" t="s">
        <v>326</v>
      </c>
      <c r="B147" t="s">
        <v>327</v>
      </c>
      <c r="C147" t="s">
        <v>14</v>
      </c>
      <c r="D147">
        <v>22</v>
      </c>
      <c r="E147" t="s">
        <v>15</v>
      </c>
      <c r="F147" t="s">
        <v>29</v>
      </c>
      <c r="G147">
        <v>49257</v>
      </c>
      <c r="H147" t="s">
        <v>17</v>
      </c>
      <c r="I147" s="1">
        <v>44029</v>
      </c>
      <c r="J147" t="s">
        <v>39</v>
      </c>
      <c r="K147" t="s">
        <v>44</v>
      </c>
      <c r="L147">
        <v>5</v>
      </c>
      <c r="M147" t="s">
        <v>1045</v>
      </c>
    </row>
    <row r="148" spans="1:13" x14ac:dyDescent="0.35">
      <c r="A148" t="s">
        <v>328</v>
      </c>
      <c r="B148" t="s">
        <v>329</v>
      </c>
      <c r="C148" t="s">
        <v>14</v>
      </c>
      <c r="D148">
        <v>29</v>
      </c>
      <c r="E148" t="s">
        <v>43</v>
      </c>
      <c r="F148" t="s">
        <v>16</v>
      </c>
      <c r="G148">
        <v>193279</v>
      </c>
      <c r="H148" t="s">
        <v>30</v>
      </c>
      <c r="I148" s="1">
        <v>43888</v>
      </c>
      <c r="J148" t="s">
        <v>18</v>
      </c>
      <c r="K148" t="s">
        <v>19</v>
      </c>
      <c r="L148">
        <v>5</v>
      </c>
      <c r="M148" t="s">
        <v>1045</v>
      </c>
    </row>
    <row r="149" spans="1:13" x14ac:dyDescent="0.35">
      <c r="A149" t="s">
        <v>330</v>
      </c>
      <c r="B149" t="s">
        <v>331</v>
      </c>
      <c r="C149" t="s">
        <v>14</v>
      </c>
      <c r="D149">
        <v>33</v>
      </c>
      <c r="E149" t="s">
        <v>23</v>
      </c>
      <c r="F149" t="s">
        <v>38</v>
      </c>
      <c r="G149">
        <v>164353</v>
      </c>
      <c r="H149" t="s">
        <v>17</v>
      </c>
      <c r="I149" s="1">
        <v>43337</v>
      </c>
      <c r="J149" t="s">
        <v>18</v>
      </c>
      <c r="K149" t="s">
        <v>19</v>
      </c>
      <c r="L149">
        <v>7</v>
      </c>
      <c r="M149" t="s">
        <v>1046</v>
      </c>
    </row>
    <row r="150" spans="1:13" x14ac:dyDescent="0.35">
      <c r="A150" t="s">
        <v>332</v>
      </c>
      <c r="B150" t="s">
        <v>333</v>
      </c>
      <c r="C150" t="s">
        <v>14</v>
      </c>
      <c r="D150">
        <v>43</v>
      </c>
      <c r="E150" t="s">
        <v>37</v>
      </c>
      <c r="F150" t="s">
        <v>29</v>
      </c>
      <c r="G150">
        <v>81246</v>
      </c>
      <c r="H150" t="s">
        <v>25</v>
      </c>
      <c r="I150" s="1">
        <v>44893</v>
      </c>
      <c r="J150" t="s">
        <v>18</v>
      </c>
      <c r="K150" t="s">
        <v>40</v>
      </c>
      <c r="L150">
        <v>3</v>
      </c>
      <c r="M150" t="s">
        <v>1045</v>
      </c>
    </row>
    <row r="151" spans="1:13" x14ac:dyDescent="0.35">
      <c r="A151" t="s">
        <v>334</v>
      </c>
      <c r="B151" t="s">
        <v>335</v>
      </c>
      <c r="C151" t="s">
        <v>22</v>
      </c>
      <c r="D151">
        <v>43</v>
      </c>
      <c r="E151" t="s">
        <v>43</v>
      </c>
      <c r="F151" t="s">
        <v>24</v>
      </c>
      <c r="G151">
        <v>21435</v>
      </c>
      <c r="H151" t="s">
        <v>17</v>
      </c>
      <c r="I151" s="1">
        <v>44015</v>
      </c>
      <c r="J151" t="s">
        <v>18</v>
      </c>
      <c r="K151" t="s">
        <v>44</v>
      </c>
      <c r="L151">
        <v>5</v>
      </c>
      <c r="M151" t="s">
        <v>1045</v>
      </c>
    </row>
    <row r="152" spans="1:13" x14ac:dyDescent="0.35">
      <c r="A152" t="s">
        <v>336</v>
      </c>
      <c r="B152" t="s">
        <v>337</v>
      </c>
      <c r="C152" t="s">
        <v>14</v>
      </c>
      <c r="D152">
        <v>65</v>
      </c>
      <c r="E152" t="s">
        <v>23</v>
      </c>
      <c r="F152" t="s">
        <v>47</v>
      </c>
      <c r="G152">
        <v>111357</v>
      </c>
      <c r="H152" t="s">
        <v>17</v>
      </c>
      <c r="I152" s="1">
        <v>43949</v>
      </c>
      <c r="J152" t="s">
        <v>55</v>
      </c>
      <c r="K152" t="s">
        <v>34</v>
      </c>
      <c r="L152">
        <v>5</v>
      </c>
      <c r="M152" t="s">
        <v>1045</v>
      </c>
    </row>
    <row r="153" spans="1:13" x14ac:dyDescent="0.35">
      <c r="A153" t="s">
        <v>338</v>
      </c>
      <c r="B153" t="s">
        <v>339</v>
      </c>
      <c r="C153" t="s">
        <v>14</v>
      </c>
      <c r="D153">
        <v>38</v>
      </c>
      <c r="E153" t="s">
        <v>23</v>
      </c>
      <c r="F153" t="s">
        <v>52</v>
      </c>
      <c r="G153">
        <v>177732</v>
      </c>
      <c r="H153" t="s">
        <v>25</v>
      </c>
      <c r="I153" s="1">
        <v>43409</v>
      </c>
      <c r="J153" t="s">
        <v>18</v>
      </c>
      <c r="K153" t="s">
        <v>19</v>
      </c>
      <c r="L153">
        <v>7</v>
      </c>
      <c r="M153" t="s">
        <v>1046</v>
      </c>
    </row>
    <row r="154" spans="1:13" x14ac:dyDescent="0.35">
      <c r="A154" t="s">
        <v>340</v>
      </c>
      <c r="B154" t="s">
        <v>341</v>
      </c>
      <c r="C154" t="s">
        <v>14</v>
      </c>
      <c r="D154">
        <v>56</v>
      </c>
      <c r="E154" t="s">
        <v>37</v>
      </c>
      <c r="F154" t="s">
        <v>52</v>
      </c>
      <c r="G154">
        <v>156156</v>
      </c>
      <c r="H154" t="s">
        <v>25</v>
      </c>
      <c r="I154" s="1">
        <v>42365</v>
      </c>
      <c r="J154" t="s">
        <v>26</v>
      </c>
      <c r="K154" t="s">
        <v>19</v>
      </c>
      <c r="L154">
        <v>10</v>
      </c>
      <c r="M154" t="s">
        <v>1047</v>
      </c>
    </row>
    <row r="155" spans="1:13" x14ac:dyDescent="0.35">
      <c r="A155" t="s">
        <v>342</v>
      </c>
      <c r="B155" t="s">
        <v>343</v>
      </c>
      <c r="C155" t="s">
        <v>14</v>
      </c>
      <c r="D155">
        <v>53</v>
      </c>
      <c r="E155" t="s">
        <v>15</v>
      </c>
      <c r="F155" t="s">
        <v>24</v>
      </c>
      <c r="G155">
        <v>164579</v>
      </c>
      <c r="H155" t="s">
        <v>30</v>
      </c>
      <c r="I155" s="1">
        <v>42280</v>
      </c>
      <c r="J155" t="s">
        <v>26</v>
      </c>
      <c r="K155" t="s">
        <v>19</v>
      </c>
      <c r="L155">
        <v>10</v>
      </c>
      <c r="M155" t="s">
        <v>1047</v>
      </c>
    </row>
    <row r="156" spans="1:13" x14ac:dyDescent="0.35">
      <c r="A156" t="s">
        <v>344</v>
      </c>
      <c r="B156" t="s">
        <v>345</v>
      </c>
      <c r="C156" t="s">
        <v>14</v>
      </c>
      <c r="D156">
        <v>50</v>
      </c>
      <c r="E156" t="s">
        <v>15</v>
      </c>
      <c r="F156" t="s">
        <v>29</v>
      </c>
      <c r="G156">
        <v>103807</v>
      </c>
      <c r="H156" t="s">
        <v>17</v>
      </c>
      <c r="I156" s="1">
        <v>45264</v>
      </c>
      <c r="J156" t="s">
        <v>26</v>
      </c>
      <c r="K156" t="s">
        <v>40</v>
      </c>
      <c r="L156">
        <v>2</v>
      </c>
      <c r="M156" t="s">
        <v>1044</v>
      </c>
    </row>
    <row r="157" spans="1:13" x14ac:dyDescent="0.35">
      <c r="A157" t="s">
        <v>346</v>
      </c>
      <c r="B157" t="s">
        <v>347</v>
      </c>
      <c r="C157" t="s">
        <v>22</v>
      </c>
      <c r="D157">
        <v>47</v>
      </c>
      <c r="E157" t="s">
        <v>43</v>
      </c>
      <c r="F157" t="s">
        <v>52</v>
      </c>
      <c r="G157">
        <v>196611</v>
      </c>
      <c r="H157" t="s">
        <v>17</v>
      </c>
      <c r="I157" s="1">
        <v>44850</v>
      </c>
      <c r="J157" t="s">
        <v>26</v>
      </c>
      <c r="K157" t="s">
        <v>19</v>
      </c>
      <c r="L157">
        <v>3</v>
      </c>
      <c r="M157" t="s">
        <v>1045</v>
      </c>
    </row>
    <row r="158" spans="1:13" x14ac:dyDescent="0.35">
      <c r="A158" t="s">
        <v>348</v>
      </c>
      <c r="B158" t="s">
        <v>349</v>
      </c>
      <c r="C158" t="s">
        <v>14</v>
      </c>
      <c r="D158">
        <v>54</v>
      </c>
      <c r="E158" t="s">
        <v>37</v>
      </c>
      <c r="F158" t="s">
        <v>33</v>
      </c>
      <c r="G158">
        <v>135953</v>
      </c>
      <c r="H158" t="s">
        <v>25</v>
      </c>
      <c r="I158" s="1">
        <v>43172</v>
      </c>
      <c r="J158" t="s">
        <v>26</v>
      </c>
      <c r="K158" t="s">
        <v>34</v>
      </c>
      <c r="L158">
        <v>7</v>
      </c>
      <c r="M158" t="s">
        <v>1046</v>
      </c>
    </row>
    <row r="159" spans="1:13" x14ac:dyDescent="0.35">
      <c r="A159" t="s">
        <v>350</v>
      </c>
      <c r="B159" t="s">
        <v>351</v>
      </c>
      <c r="C159" t="s">
        <v>22</v>
      </c>
      <c r="D159">
        <v>40</v>
      </c>
      <c r="E159" t="s">
        <v>15</v>
      </c>
      <c r="F159" t="s">
        <v>47</v>
      </c>
      <c r="G159">
        <v>158563</v>
      </c>
      <c r="H159" t="s">
        <v>17</v>
      </c>
      <c r="I159" s="1">
        <v>45774</v>
      </c>
      <c r="J159" t="s">
        <v>18</v>
      </c>
      <c r="K159" t="s">
        <v>19</v>
      </c>
      <c r="L159">
        <v>0</v>
      </c>
      <c r="M159" t="s">
        <v>1044</v>
      </c>
    </row>
    <row r="160" spans="1:13" x14ac:dyDescent="0.35">
      <c r="A160" t="s">
        <v>352</v>
      </c>
      <c r="B160" t="s">
        <v>353</v>
      </c>
      <c r="C160" t="s">
        <v>14</v>
      </c>
      <c r="D160">
        <v>27</v>
      </c>
      <c r="E160" t="s">
        <v>37</v>
      </c>
      <c r="F160" t="s">
        <v>47</v>
      </c>
      <c r="G160">
        <v>143797</v>
      </c>
      <c r="H160" t="s">
        <v>17</v>
      </c>
      <c r="I160" s="1">
        <v>43200</v>
      </c>
      <c r="J160" t="s">
        <v>39</v>
      </c>
      <c r="K160" t="s">
        <v>34</v>
      </c>
      <c r="L160">
        <v>7</v>
      </c>
      <c r="M160" t="s">
        <v>1046</v>
      </c>
    </row>
    <row r="161" spans="1:13" x14ac:dyDescent="0.35">
      <c r="A161" t="s">
        <v>354</v>
      </c>
      <c r="B161" t="s">
        <v>355</v>
      </c>
      <c r="C161" t="s">
        <v>22</v>
      </c>
      <c r="D161">
        <v>71</v>
      </c>
      <c r="E161" t="s">
        <v>15</v>
      </c>
      <c r="F161" t="s">
        <v>52</v>
      </c>
      <c r="G161">
        <v>83888</v>
      </c>
      <c r="H161" t="s">
        <v>17</v>
      </c>
      <c r="I161" s="1">
        <v>42314</v>
      </c>
      <c r="J161" t="s">
        <v>55</v>
      </c>
      <c r="K161" t="s">
        <v>40</v>
      </c>
      <c r="L161">
        <v>10</v>
      </c>
      <c r="M161" t="s">
        <v>1047</v>
      </c>
    </row>
    <row r="162" spans="1:13" x14ac:dyDescent="0.35">
      <c r="A162" t="s">
        <v>356</v>
      </c>
      <c r="B162" t="s">
        <v>357</v>
      </c>
      <c r="C162" t="s">
        <v>14</v>
      </c>
      <c r="D162">
        <v>22</v>
      </c>
      <c r="E162" t="s">
        <v>23</v>
      </c>
      <c r="F162" t="s">
        <v>16</v>
      </c>
      <c r="G162">
        <v>93609</v>
      </c>
      <c r="H162" t="s">
        <v>17</v>
      </c>
      <c r="I162" s="1">
        <v>44252</v>
      </c>
      <c r="J162" t="s">
        <v>39</v>
      </c>
      <c r="K162" t="s">
        <v>40</v>
      </c>
      <c r="L162">
        <v>4</v>
      </c>
      <c r="M162" t="s">
        <v>1045</v>
      </c>
    </row>
    <row r="163" spans="1:13" x14ac:dyDescent="0.35">
      <c r="A163" t="s">
        <v>358</v>
      </c>
      <c r="B163" t="s">
        <v>359</v>
      </c>
      <c r="C163" t="s">
        <v>14</v>
      </c>
      <c r="D163">
        <v>53</v>
      </c>
      <c r="E163" t="s">
        <v>15</v>
      </c>
      <c r="F163" t="s">
        <v>52</v>
      </c>
      <c r="G163">
        <v>29077</v>
      </c>
      <c r="H163" t="s">
        <v>25</v>
      </c>
      <c r="I163" s="1">
        <v>42248</v>
      </c>
      <c r="J163" t="s">
        <v>26</v>
      </c>
      <c r="K163" t="s">
        <v>44</v>
      </c>
      <c r="L163">
        <v>10</v>
      </c>
      <c r="M163" t="s">
        <v>1047</v>
      </c>
    </row>
    <row r="164" spans="1:13" x14ac:dyDescent="0.35">
      <c r="A164" t="s">
        <v>360</v>
      </c>
      <c r="B164" t="s">
        <v>361</v>
      </c>
      <c r="C164" t="s">
        <v>22</v>
      </c>
      <c r="D164">
        <v>51</v>
      </c>
      <c r="E164" t="s">
        <v>37</v>
      </c>
      <c r="F164" t="s">
        <v>16</v>
      </c>
      <c r="G164">
        <v>40953</v>
      </c>
      <c r="H164" t="s">
        <v>17</v>
      </c>
      <c r="I164" s="1">
        <v>44789</v>
      </c>
      <c r="J164" t="s">
        <v>26</v>
      </c>
      <c r="K164" t="s">
        <v>44</v>
      </c>
      <c r="L164">
        <v>3</v>
      </c>
      <c r="M164" t="s">
        <v>1045</v>
      </c>
    </row>
    <row r="165" spans="1:13" x14ac:dyDescent="0.35">
      <c r="A165" t="s">
        <v>362</v>
      </c>
      <c r="B165" t="s">
        <v>363</v>
      </c>
      <c r="C165" t="s">
        <v>22</v>
      </c>
      <c r="D165">
        <v>69</v>
      </c>
      <c r="E165" t="s">
        <v>23</v>
      </c>
      <c r="F165" t="s">
        <v>52</v>
      </c>
      <c r="G165">
        <v>134682</v>
      </c>
      <c r="H165" t="s">
        <v>17</v>
      </c>
      <c r="I165" s="1">
        <v>44257</v>
      </c>
      <c r="J165" t="s">
        <v>55</v>
      </c>
      <c r="K165" t="s">
        <v>34</v>
      </c>
      <c r="L165">
        <v>4</v>
      </c>
      <c r="M165" t="s">
        <v>1045</v>
      </c>
    </row>
    <row r="166" spans="1:13" x14ac:dyDescent="0.35">
      <c r="A166" t="s">
        <v>364</v>
      </c>
      <c r="B166" t="s">
        <v>365</v>
      </c>
      <c r="C166" t="s">
        <v>22</v>
      </c>
      <c r="D166">
        <v>48</v>
      </c>
      <c r="E166" t="s">
        <v>23</v>
      </c>
      <c r="F166" t="s">
        <v>33</v>
      </c>
      <c r="G166">
        <v>87889</v>
      </c>
      <c r="H166" t="s">
        <v>17</v>
      </c>
      <c r="I166" s="1">
        <v>45172</v>
      </c>
      <c r="J166" t="s">
        <v>26</v>
      </c>
      <c r="K166" t="s">
        <v>40</v>
      </c>
      <c r="L166">
        <v>2</v>
      </c>
      <c r="M166" t="s">
        <v>1044</v>
      </c>
    </row>
    <row r="167" spans="1:13" x14ac:dyDescent="0.35">
      <c r="A167" t="s">
        <v>366</v>
      </c>
      <c r="B167" t="s">
        <v>367</v>
      </c>
      <c r="C167" t="s">
        <v>14</v>
      </c>
      <c r="D167">
        <v>27</v>
      </c>
      <c r="E167" t="s">
        <v>23</v>
      </c>
      <c r="F167" t="s">
        <v>38</v>
      </c>
      <c r="G167">
        <v>174893</v>
      </c>
      <c r="H167" t="s">
        <v>17</v>
      </c>
      <c r="I167" s="1">
        <v>42431</v>
      </c>
      <c r="J167" t="s">
        <v>39</v>
      </c>
      <c r="K167" t="s">
        <v>19</v>
      </c>
      <c r="L167">
        <v>9</v>
      </c>
      <c r="M167" t="s">
        <v>1047</v>
      </c>
    </row>
    <row r="168" spans="1:13" x14ac:dyDescent="0.35">
      <c r="A168" t="s">
        <v>368</v>
      </c>
      <c r="B168" t="s">
        <v>369</v>
      </c>
      <c r="C168" t="s">
        <v>22</v>
      </c>
      <c r="D168">
        <v>36</v>
      </c>
      <c r="E168" t="s">
        <v>37</v>
      </c>
      <c r="F168" t="s">
        <v>47</v>
      </c>
      <c r="G168">
        <v>188639</v>
      </c>
      <c r="H168" t="s">
        <v>17</v>
      </c>
      <c r="I168" s="1">
        <v>45492</v>
      </c>
      <c r="J168" t="s">
        <v>18</v>
      </c>
      <c r="K168" t="s">
        <v>19</v>
      </c>
      <c r="L168">
        <v>1</v>
      </c>
      <c r="M168" t="s">
        <v>1044</v>
      </c>
    </row>
    <row r="169" spans="1:13" x14ac:dyDescent="0.35">
      <c r="A169" t="s">
        <v>370</v>
      </c>
      <c r="B169" t="s">
        <v>371</v>
      </c>
      <c r="C169" t="s">
        <v>14</v>
      </c>
      <c r="D169">
        <v>49</v>
      </c>
      <c r="E169" t="s">
        <v>43</v>
      </c>
      <c r="F169" t="s">
        <v>52</v>
      </c>
      <c r="G169">
        <v>135374</v>
      </c>
      <c r="H169" t="s">
        <v>17</v>
      </c>
      <c r="I169" s="1">
        <v>43786</v>
      </c>
      <c r="J169" t="s">
        <v>26</v>
      </c>
      <c r="K169" t="s">
        <v>34</v>
      </c>
      <c r="L169">
        <v>6</v>
      </c>
      <c r="M169" t="s">
        <v>1046</v>
      </c>
    </row>
    <row r="170" spans="1:13" x14ac:dyDescent="0.35">
      <c r="A170" t="s">
        <v>372</v>
      </c>
      <c r="B170" t="s">
        <v>373</v>
      </c>
      <c r="C170" t="s">
        <v>14</v>
      </c>
      <c r="D170">
        <v>18</v>
      </c>
      <c r="E170" t="s">
        <v>43</v>
      </c>
      <c r="F170" t="s">
        <v>33</v>
      </c>
      <c r="G170">
        <v>44860</v>
      </c>
      <c r="H170" t="s">
        <v>17</v>
      </c>
      <c r="I170" s="1">
        <v>45714</v>
      </c>
      <c r="J170" t="s">
        <v>39</v>
      </c>
      <c r="K170" t="s">
        <v>44</v>
      </c>
      <c r="L170">
        <v>0</v>
      </c>
      <c r="M170" t="s">
        <v>1044</v>
      </c>
    </row>
    <row r="171" spans="1:13" x14ac:dyDescent="0.35">
      <c r="A171" t="s">
        <v>374</v>
      </c>
      <c r="B171" t="s">
        <v>375</v>
      </c>
      <c r="C171" t="s">
        <v>22</v>
      </c>
      <c r="D171">
        <v>73</v>
      </c>
      <c r="E171" t="s">
        <v>43</v>
      </c>
      <c r="F171" t="s">
        <v>16</v>
      </c>
      <c r="G171">
        <v>172267</v>
      </c>
      <c r="H171" t="s">
        <v>25</v>
      </c>
      <c r="I171" s="1">
        <v>44887</v>
      </c>
      <c r="J171" t="s">
        <v>55</v>
      </c>
      <c r="K171" t="s">
        <v>19</v>
      </c>
      <c r="L171">
        <v>3</v>
      </c>
      <c r="M171" t="s">
        <v>1045</v>
      </c>
    </row>
    <row r="172" spans="1:13" x14ac:dyDescent="0.35">
      <c r="A172" t="s">
        <v>376</v>
      </c>
      <c r="B172" t="s">
        <v>377</v>
      </c>
      <c r="C172" t="s">
        <v>22</v>
      </c>
      <c r="D172">
        <v>22</v>
      </c>
      <c r="E172" t="s">
        <v>37</v>
      </c>
      <c r="F172" t="s">
        <v>16</v>
      </c>
      <c r="G172">
        <v>97475</v>
      </c>
      <c r="H172" t="s">
        <v>17</v>
      </c>
      <c r="I172" s="1">
        <v>42532</v>
      </c>
      <c r="J172" t="s">
        <v>39</v>
      </c>
      <c r="K172" t="s">
        <v>40</v>
      </c>
      <c r="L172">
        <v>9</v>
      </c>
      <c r="M172" t="s">
        <v>1047</v>
      </c>
    </row>
    <row r="173" spans="1:13" x14ac:dyDescent="0.35">
      <c r="A173" t="s">
        <v>378</v>
      </c>
      <c r="B173" t="s">
        <v>379</v>
      </c>
      <c r="C173" t="s">
        <v>14</v>
      </c>
      <c r="D173">
        <v>62</v>
      </c>
      <c r="E173" t="s">
        <v>23</v>
      </c>
      <c r="F173" t="s">
        <v>47</v>
      </c>
      <c r="G173">
        <v>107266</v>
      </c>
      <c r="H173" t="s">
        <v>17</v>
      </c>
      <c r="I173" s="1">
        <v>43988</v>
      </c>
      <c r="J173" t="s">
        <v>55</v>
      </c>
      <c r="K173" t="s">
        <v>40</v>
      </c>
      <c r="L173">
        <v>5</v>
      </c>
      <c r="M173" t="s">
        <v>1045</v>
      </c>
    </row>
    <row r="174" spans="1:13" x14ac:dyDescent="0.35">
      <c r="A174" t="s">
        <v>380</v>
      </c>
      <c r="B174" t="s">
        <v>381</v>
      </c>
      <c r="C174" t="s">
        <v>14</v>
      </c>
      <c r="D174">
        <v>21</v>
      </c>
      <c r="E174" t="s">
        <v>43</v>
      </c>
      <c r="F174" t="s">
        <v>24</v>
      </c>
      <c r="G174">
        <v>172499</v>
      </c>
      <c r="H174" t="s">
        <v>25</v>
      </c>
      <c r="I174" s="1">
        <v>44501</v>
      </c>
      <c r="J174" t="s">
        <v>39</v>
      </c>
      <c r="K174" t="s">
        <v>19</v>
      </c>
      <c r="L174">
        <v>4</v>
      </c>
      <c r="M174" t="s">
        <v>1045</v>
      </c>
    </row>
    <row r="175" spans="1:13" x14ac:dyDescent="0.35">
      <c r="A175" t="s">
        <v>382</v>
      </c>
      <c r="B175" t="s">
        <v>383</v>
      </c>
      <c r="C175" t="s">
        <v>22</v>
      </c>
      <c r="D175">
        <v>33</v>
      </c>
      <c r="E175" t="s">
        <v>37</v>
      </c>
      <c r="F175" t="s">
        <v>52</v>
      </c>
      <c r="G175">
        <v>120732</v>
      </c>
      <c r="H175" t="s">
        <v>25</v>
      </c>
      <c r="I175" s="1">
        <v>43767</v>
      </c>
      <c r="J175" t="s">
        <v>18</v>
      </c>
      <c r="K175" t="s">
        <v>34</v>
      </c>
      <c r="L175">
        <v>6</v>
      </c>
      <c r="M175" t="s">
        <v>1046</v>
      </c>
    </row>
    <row r="176" spans="1:13" x14ac:dyDescent="0.35">
      <c r="A176" t="s">
        <v>384</v>
      </c>
      <c r="B176" t="s">
        <v>385</v>
      </c>
      <c r="C176" t="s">
        <v>22</v>
      </c>
      <c r="D176">
        <v>41</v>
      </c>
      <c r="E176" t="s">
        <v>43</v>
      </c>
      <c r="F176" t="s">
        <v>29</v>
      </c>
      <c r="G176">
        <v>47083</v>
      </c>
      <c r="H176" t="s">
        <v>17</v>
      </c>
      <c r="I176" s="1">
        <v>43046</v>
      </c>
      <c r="J176" t="s">
        <v>18</v>
      </c>
      <c r="K176" t="s">
        <v>44</v>
      </c>
      <c r="L176">
        <v>8</v>
      </c>
      <c r="M176" t="s">
        <v>1046</v>
      </c>
    </row>
    <row r="177" spans="1:13" x14ac:dyDescent="0.35">
      <c r="A177" t="s">
        <v>386</v>
      </c>
      <c r="B177" t="s">
        <v>387</v>
      </c>
      <c r="C177" t="s">
        <v>22</v>
      </c>
      <c r="D177">
        <v>33</v>
      </c>
      <c r="E177" t="s">
        <v>15</v>
      </c>
      <c r="F177" t="s">
        <v>16</v>
      </c>
      <c r="G177">
        <v>77372</v>
      </c>
      <c r="H177" t="s">
        <v>17</v>
      </c>
      <c r="I177" s="1">
        <v>42292</v>
      </c>
      <c r="J177" t="s">
        <v>18</v>
      </c>
      <c r="K177" t="s">
        <v>40</v>
      </c>
      <c r="L177">
        <v>10</v>
      </c>
      <c r="M177" t="s">
        <v>1047</v>
      </c>
    </row>
    <row r="178" spans="1:13" x14ac:dyDescent="0.35">
      <c r="A178" t="s">
        <v>388</v>
      </c>
      <c r="B178" t="s">
        <v>389</v>
      </c>
      <c r="C178" t="s">
        <v>14</v>
      </c>
      <c r="D178">
        <v>72</v>
      </c>
      <c r="E178" t="s">
        <v>43</v>
      </c>
      <c r="F178" t="s">
        <v>38</v>
      </c>
      <c r="G178">
        <v>143786</v>
      </c>
      <c r="H178" t="s">
        <v>17</v>
      </c>
      <c r="I178" s="1">
        <v>45538</v>
      </c>
      <c r="J178" t="s">
        <v>55</v>
      </c>
      <c r="K178" t="s">
        <v>34</v>
      </c>
      <c r="L178">
        <v>1</v>
      </c>
      <c r="M178" t="s">
        <v>1044</v>
      </c>
    </row>
    <row r="179" spans="1:13" x14ac:dyDescent="0.35">
      <c r="A179" t="s">
        <v>390</v>
      </c>
      <c r="B179" t="s">
        <v>391</v>
      </c>
      <c r="C179" t="s">
        <v>14</v>
      </c>
      <c r="D179">
        <v>19</v>
      </c>
      <c r="E179" t="s">
        <v>43</v>
      </c>
      <c r="F179" t="s">
        <v>38</v>
      </c>
      <c r="G179">
        <v>195136</v>
      </c>
      <c r="H179" t="s">
        <v>25</v>
      </c>
      <c r="I179" s="1">
        <v>45642</v>
      </c>
      <c r="J179" t="s">
        <v>39</v>
      </c>
      <c r="K179" t="s">
        <v>19</v>
      </c>
      <c r="L179">
        <v>1</v>
      </c>
      <c r="M179" t="s">
        <v>1044</v>
      </c>
    </row>
    <row r="180" spans="1:13" x14ac:dyDescent="0.35">
      <c r="A180" t="s">
        <v>392</v>
      </c>
      <c r="B180" t="s">
        <v>393</v>
      </c>
      <c r="C180" t="s">
        <v>14</v>
      </c>
      <c r="D180">
        <v>66</v>
      </c>
      <c r="E180" t="s">
        <v>23</v>
      </c>
      <c r="F180" t="s">
        <v>16</v>
      </c>
      <c r="G180">
        <v>27813</v>
      </c>
      <c r="H180" t="s">
        <v>30</v>
      </c>
      <c r="I180" s="1">
        <v>42803</v>
      </c>
      <c r="J180" t="s">
        <v>55</v>
      </c>
      <c r="K180" t="s">
        <v>44</v>
      </c>
      <c r="L180">
        <v>8</v>
      </c>
      <c r="M180" t="s">
        <v>1046</v>
      </c>
    </row>
    <row r="181" spans="1:13" x14ac:dyDescent="0.35">
      <c r="A181" t="s">
        <v>394</v>
      </c>
      <c r="B181" t="s">
        <v>395</v>
      </c>
      <c r="C181" t="s">
        <v>14</v>
      </c>
      <c r="D181">
        <v>45</v>
      </c>
      <c r="E181" t="s">
        <v>37</v>
      </c>
      <c r="F181" t="s">
        <v>24</v>
      </c>
      <c r="G181">
        <v>51598</v>
      </c>
      <c r="H181" t="s">
        <v>25</v>
      </c>
      <c r="I181" s="1">
        <v>45704</v>
      </c>
      <c r="J181" t="s">
        <v>26</v>
      </c>
      <c r="K181" t="s">
        <v>44</v>
      </c>
      <c r="L181">
        <v>0</v>
      </c>
      <c r="M181" t="s">
        <v>1044</v>
      </c>
    </row>
    <row r="182" spans="1:13" x14ac:dyDescent="0.35">
      <c r="A182" t="s">
        <v>396</v>
      </c>
      <c r="B182" t="s">
        <v>397</v>
      </c>
      <c r="C182" t="s">
        <v>14</v>
      </c>
      <c r="D182">
        <v>49</v>
      </c>
      <c r="E182" t="s">
        <v>23</v>
      </c>
      <c r="F182" t="s">
        <v>24</v>
      </c>
      <c r="G182">
        <v>113106</v>
      </c>
      <c r="H182" t="s">
        <v>17</v>
      </c>
      <c r="I182" s="1">
        <v>42387</v>
      </c>
      <c r="J182" t="s">
        <v>26</v>
      </c>
      <c r="K182" t="s">
        <v>34</v>
      </c>
      <c r="L182">
        <v>9</v>
      </c>
      <c r="M182" t="s">
        <v>1047</v>
      </c>
    </row>
    <row r="183" spans="1:13" x14ac:dyDescent="0.35">
      <c r="A183" t="s">
        <v>398</v>
      </c>
      <c r="B183" t="s">
        <v>399</v>
      </c>
      <c r="C183" t="s">
        <v>14</v>
      </c>
      <c r="D183">
        <v>44</v>
      </c>
      <c r="E183" t="s">
        <v>23</v>
      </c>
      <c r="F183" t="s">
        <v>33</v>
      </c>
      <c r="G183">
        <v>47082</v>
      </c>
      <c r="H183" t="s">
        <v>25</v>
      </c>
      <c r="I183" s="1">
        <v>45843</v>
      </c>
      <c r="J183" t="s">
        <v>18</v>
      </c>
      <c r="K183" t="s">
        <v>44</v>
      </c>
      <c r="L183">
        <v>0</v>
      </c>
      <c r="M183" t="s">
        <v>1044</v>
      </c>
    </row>
    <row r="184" spans="1:13" x14ac:dyDescent="0.35">
      <c r="A184" t="s">
        <v>400</v>
      </c>
      <c r="B184" t="s">
        <v>401</v>
      </c>
      <c r="C184" t="s">
        <v>22</v>
      </c>
      <c r="D184">
        <v>37</v>
      </c>
      <c r="E184" t="s">
        <v>23</v>
      </c>
      <c r="F184" t="s">
        <v>38</v>
      </c>
      <c r="G184">
        <v>49241</v>
      </c>
      <c r="H184" t="s">
        <v>17</v>
      </c>
      <c r="I184" s="1">
        <v>43202</v>
      </c>
      <c r="J184" t="s">
        <v>18</v>
      </c>
      <c r="K184" t="s">
        <v>44</v>
      </c>
      <c r="L184">
        <v>7</v>
      </c>
      <c r="M184" t="s">
        <v>1046</v>
      </c>
    </row>
    <row r="185" spans="1:13" x14ac:dyDescent="0.35">
      <c r="A185" t="s">
        <v>402</v>
      </c>
      <c r="B185" t="s">
        <v>403</v>
      </c>
      <c r="C185" t="s">
        <v>14</v>
      </c>
      <c r="D185">
        <v>41</v>
      </c>
      <c r="E185" t="s">
        <v>23</v>
      </c>
      <c r="F185" t="s">
        <v>33</v>
      </c>
      <c r="G185">
        <v>195641</v>
      </c>
      <c r="H185" t="s">
        <v>17</v>
      </c>
      <c r="I185" s="1">
        <v>44775</v>
      </c>
      <c r="J185" t="s">
        <v>18</v>
      </c>
      <c r="K185" t="s">
        <v>19</v>
      </c>
      <c r="L185">
        <v>3</v>
      </c>
      <c r="M185" t="s">
        <v>1045</v>
      </c>
    </row>
    <row r="186" spans="1:13" x14ac:dyDescent="0.35">
      <c r="A186" t="s">
        <v>404</v>
      </c>
      <c r="B186" t="s">
        <v>405</v>
      </c>
      <c r="C186" t="s">
        <v>14</v>
      </c>
      <c r="D186">
        <v>29</v>
      </c>
      <c r="E186" t="s">
        <v>23</v>
      </c>
      <c r="F186" t="s">
        <v>38</v>
      </c>
      <c r="G186">
        <v>31745</v>
      </c>
      <c r="H186" t="s">
        <v>17</v>
      </c>
      <c r="I186" s="1">
        <v>45422</v>
      </c>
      <c r="J186" t="s">
        <v>18</v>
      </c>
      <c r="K186" t="s">
        <v>44</v>
      </c>
      <c r="L186">
        <v>1</v>
      </c>
      <c r="M186" t="s">
        <v>1044</v>
      </c>
    </row>
    <row r="187" spans="1:13" x14ac:dyDescent="0.35">
      <c r="A187" t="s">
        <v>406</v>
      </c>
      <c r="B187" t="s">
        <v>407</v>
      </c>
      <c r="C187" t="s">
        <v>14</v>
      </c>
      <c r="D187">
        <v>67</v>
      </c>
      <c r="E187" t="s">
        <v>43</v>
      </c>
      <c r="F187" t="s">
        <v>52</v>
      </c>
      <c r="G187">
        <v>46029</v>
      </c>
      <c r="H187" t="s">
        <v>30</v>
      </c>
      <c r="I187" s="1">
        <v>42881</v>
      </c>
      <c r="J187" t="s">
        <v>55</v>
      </c>
      <c r="K187" t="s">
        <v>44</v>
      </c>
      <c r="L187">
        <v>8</v>
      </c>
      <c r="M187" t="s">
        <v>1046</v>
      </c>
    </row>
    <row r="188" spans="1:13" x14ac:dyDescent="0.35">
      <c r="A188" t="s">
        <v>408</v>
      </c>
      <c r="B188" t="s">
        <v>409</v>
      </c>
      <c r="C188" t="s">
        <v>22</v>
      </c>
      <c r="D188">
        <v>52</v>
      </c>
      <c r="E188" t="s">
        <v>23</v>
      </c>
      <c r="F188" t="s">
        <v>52</v>
      </c>
      <c r="G188">
        <v>164097</v>
      </c>
      <c r="H188" t="s">
        <v>17</v>
      </c>
      <c r="I188" s="1">
        <v>45101</v>
      </c>
      <c r="J188" t="s">
        <v>26</v>
      </c>
      <c r="K188" t="s">
        <v>19</v>
      </c>
      <c r="L188">
        <v>2</v>
      </c>
      <c r="M188" t="s">
        <v>1044</v>
      </c>
    </row>
    <row r="189" spans="1:13" x14ac:dyDescent="0.35">
      <c r="A189" t="s">
        <v>410</v>
      </c>
      <c r="B189" t="s">
        <v>411</v>
      </c>
      <c r="C189" t="s">
        <v>14</v>
      </c>
      <c r="D189">
        <v>50</v>
      </c>
      <c r="E189" t="s">
        <v>23</v>
      </c>
      <c r="F189" t="s">
        <v>29</v>
      </c>
      <c r="G189">
        <v>143395</v>
      </c>
      <c r="H189" t="s">
        <v>25</v>
      </c>
      <c r="I189" s="1">
        <v>45211</v>
      </c>
      <c r="J189" t="s">
        <v>26</v>
      </c>
      <c r="K189" t="s">
        <v>34</v>
      </c>
      <c r="L189">
        <v>2</v>
      </c>
      <c r="M189" t="s">
        <v>1044</v>
      </c>
    </row>
    <row r="190" spans="1:13" x14ac:dyDescent="0.35">
      <c r="A190" t="s">
        <v>412</v>
      </c>
      <c r="B190" t="s">
        <v>413</v>
      </c>
      <c r="C190" t="s">
        <v>14</v>
      </c>
      <c r="D190">
        <v>50</v>
      </c>
      <c r="E190" t="s">
        <v>37</v>
      </c>
      <c r="F190" t="s">
        <v>52</v>
      </c>
      <c r="G190">
        <v>165360</v>
      </c>
      <c r="H190" t="s">
        <v>17</v>
      </c>
      <c r="I190" s="1">
        <v>45535</v>
      </c>
      <c r="J190" t="s">
        <v>26</v>
      </c>
      <c r="K190" t="s">
        <v>19</v>
      </c>
      <c r="L190">
        <v>1</v>
      </c>
      <c r="M190" t="s">
        <v>1044</v>
      </c>
    </row>
    <row r="191" spans="1:13" x14ac:dyDescent="0.35">
      <c r="A191" t="s">
        <v>414</v>
      </c>
      <c r="B191" t="s">
        <v>415</v>
      </c>
      <c r="C191" t="s">
        <v>22</v>
      </c>
      <c r="D191">
        <v>68</v>
      </c>
      <c r="E191" t="s">
        <v>15</v>
      </c>
      <c r="F191" t="s">
        <v>29</v>
      </c>
      <c r="G191">
        <v>109186</v>
      </c>
      <c r="H191" t="s">
        <v>17</v>
      </c>
      <c r="I191" s="1">
        <v>43008</v>
      </c>
      <c r="J191" t="s">
        <v>55</v>
      </c>
      <c r="K191" t="s">
        <v>40</v>
      </c>
      <c r="L191">
        <v>8</v>
      </c>
      <c r="M191" t="s">
        <v>1046</v>
      </c>
    </row>
    <row r="192" spans="1:13" x14ac:dyDescent="0.35">
      <c r="A192" t="s">
        <v>416</v>
      </c>
      <c r="B192" t="s">
        <v>417</v>
      </c>
      <c r="C192" t="s">
        <v>14</v>
      </c>
      <c r="D192">
        <v>60</v>
      </c>
      <c r="E192" t="s">
        <v>43</v>
      </c>
      <c r="F192" t="s">
        <v>52</v>
      </c>
      <c r="G192">
        <v>157612</v>
      </c>
      <c r="H192" t="s">
        <v>17</v>
      </c>
      <c r="I192" s="1">
        <v>43780</v>
      </c>
      <c r="J192" t="s">
        <v>26</v>
      </c>
      <c r="K192" t="s">
        <v>19</v>
      </c>
      <c r="L192">
        <v>6</v>
      </c>
      <c r="M192" t="s">
        <v>1046</v>
      </c>
    </row>
    <row r="193" spans="1:13" x14ac:dyDescent="0.35">
      <c r="A193" t="s">
        <v>418</v>
      </c>
      <c r="B193" t="s">
        <v>419</v>
      </c>
      <c r="C193" t="s">
        <v>14</v>
      </c>
      <c r="D193">
        <v>54</v>
      </c>
      <c r="E193" t="s">
        <v>43</v>
      </c>
      <c r="F193" t="s">
        <v>47</v>
      </c>
      <c r="G193">
        <v>117768</v>
      </c>
      <c r="H193" t="s">
        <v>17</v>
      </c>
      <c r="I193" s="1">
        <v>45891</v>
      </c>
      <c r="J193" t="s">
        <v>26</v>
      </c>
      <c r="K193" t="s">
        <v>34</v>
      </c>
      <c r="L193">
        <v>0</v>
      </c>
      <c r="M193" t="s">
        <v>1044</v>
      </c>
    </row>
    <row r="194" spans="1:13" x14ac:dyDescent="0.35">
      <c r="A194" t="s">
        <v>420</v>
      </c>
      <c r="B194" t="s">
        <v>421</v>
      </c>
      <c r="C194" t="s">
        <v>14</v>
      </c>
      <c r="D194">
        <v>29</v>
      </c>
      <c r="E194" t="s">
        <v>43</v>
      </c>
      <c r="F194" t="s">
        <v>52</v>
      </c>
      <c r="G194">
        <v>61846</v>
      </c>
      <c r="H194" t="s">
        <v>25</v>
      </c>
      <c r="I194" s="1">
        <v>44169</v>
      </c>
      <c r="J194" t="s">
        <v>18</v>
      </c>
      <c r="K194" t="s">
        <v>44</v>
      </c>
      <c r="L194">
        <v>5</v>
      </c>
      <c r="M194" t="s">
        <v>1045</v>
      </c>
    </row>
    <row r="195" spans="1:13" x14ac:dyDescent="0.35">
      <c r="A195" t="s">
        <v>422</v>
      </c>
      <c r="B195" t="s">
        <v>423</v>
      </c>
      <c r="C195" t="s">
        <v>14</v>
      </c>
      <c r="D195">
        <v>20</v>
      </c>
      <c r="E195" t="s">
        <v>23</v>
      </c>
      <c r="F195" t="s">
        <v>33</v>
      </c>
      <c r="G195">
        <v>95932</v>
      </c>
      <c r="H195" t="s">
        <v>17</v>
      </c>
      <c r="I195" s="1">
        <v>45446</v>
      </c>
      <c r="J195" t="s">
        <v>39</v>
      </c>
      <c r="K195" t="s">
        <v>40</v>
      </c>
      <c r="L195">
        <v>1</v>
      </c>
      <c r="M195" t="s">
        <v>1044</v>
      </c>
    </row>
    <row r="196" spans="1:13" x14ac:dyDescent="0.35">
      <c r="A196" t="s">
        <v>424</v>
      </c>
      <c r="B196" t="s">
        <v>425</v>
      </c>
      <c r="C196" t="s">
        <v>14</v>
      </c>
      <c r="D196">
        <v>18</v>
      </c>
      <c r="E196" t="s">
        <v>23</v>
      </c>
      <c r="F196" t="s">
        <v>16</v>
      </c>
      <c r="G196">
        <v>168554</v>
      </c>
      <c r="H196" t="s">
        <v>25</v>
      </c>
      <c r="I196" s="1">
        <v>42269</v>
      </c>
      <c r="J196" t="s">
        <v>39</v>
      </c>
      <c r="K196" t="s">
        <v>19</v>
      </c>
      <c r="L196">
        <v>10</v>
      </c>
      <c r="M196" t="s">
        <v>1047</v>
      </c>
    </row>
    <row r="197" spans="1:13" x14ac:dyDescent="0.35">
      <c r="A197" t="s">
        <v>426</v>
      </c>
      <c r="B197" t="s">
        <v>427</v>
      </c>
      <c r="C197" t="s">
        <v>22</v>
      </c>
      <c r="D197">
        <v>50</v>
      </c>
      <c r="E197" t="s">
        <v>23</v>
      </c>
      <c r="F197" t="s">
        <v>33</v>
      </c>
      <c r="G197">
        <v>43411</v>
      </c>
      <c r="H197" t="s">
        <v>25</v>
      </c>
      <c r="I197" s="1">
        <v>43612</v>
      </c>
      <c r="J197" t="s">
        <v>26</v>
      </c>
      <c r="K197" t="s">
        <v>44</v>
      </c>
      <c r="L197">
        <v>6</v>
      </c>
      <c r="M197" t="s">
        <v>1046</v>
      </c>
    </row>
    <row r="198" spans="1:13" x14ac:dyDescent="0.35">
      <c r="A198" t="s">
        <v>428</v>
      </c>
      <c r="B198" t="s">
        <v>429</v>
      </c>
      <c r="C198" t="s">
        <v>22</v>
      </c>
      <c r="D198">
        <v>57</v>
      </c>
      <c r="E198" t="s">
        <v>37</v>
      </c>
      <c r="F198" t="s">
        <v>16</v>
      </c>
      <c r="G198">
        <v>98797</v>
      </c>
      <c r="H198" t="s">
        <v>30</v>
      </c>
      <c r="I198" s="1">
        <v>42402</v>
      </c>
      <c r="J198" t="s">
        <v>26</v>
      </c>
      <c r="K198" t="s">
        <v>40</v>
      </c>
      <c r="L198">
        <v>9</v>
      </c>
      <c r="M198" t="s">
        <v>1047</v>
      </c>
    </row>
    <row r="199" spans="1:13" x14ac:dyDescent="0.35">
      <c r="A199" t="s">
        <v>430</v>
      </c>
      <c r="B199" t="s">
        <v>431</v>
      </c>
      <c r="C199" t="s">
        <v>22</v>
      </c>
      <c r="D199">
        <v>27</v>
      </c>
      <c r="E199" t="s">
        <v>15</v>
      </c>
      <c r="F199" t="s">
        <v>24</v>
      </c>
      <c r="G199">
        <v>72307</v>
      </c>
      <c r="H199" t="s">
        <v>17</v>
      </c>
      <c r="I199" s="1">
        <v>43945</v>
      </c>
      <c r="J199" t="s">
        <v>39</v>
      </c>
      <c r="K199" t="s">
        <v>40</v>
      </c>
      <c r="L199">
        <v>5</v>
      </c>
      <c r="M199" t="s">
        <v>1045</v>
      </c>
    </row>
    <row r="200" spans="1:13" x14ac:dyDescent="0.35">
      <c r="A200" t="s">
        <v>432</v>
      </c>
      <c r="B200" t="s">
        <v>433</v>
      </c>
      <c r="C200" t="s">
        <v>14</v>
      </c>
      <c r="D200">
        <v>60</v>
      </c>
      <c r="E200" t="s">
        <v>23</v>
      </c>
      <c r="F200" t="s">
        <v>33</v>
      </c>
      <c r="G200">
        <v>154165</v>
      </c>
      <c r="H200" t="s">
        <v>17</v>
      </c>
      <c r="I200" s="1">
        <v>43118</v>
      </c>
      <c r="J200" t="s">
        <v>26</v>
      </c>
      <c r="K200" t="s">
        <v>34</v>
      </c>
      <c r="L200">
        <v>7</v>
      </c>
      <c r="M200" t="s">
        <v>1046</v>
      </c>
    </row>
    <row r="201" spans="1:13" x14ac:dyDescent="0.35">
      <c r="A201" t="s">
        <v>434</v>
      </c>
      <c r="B201" t="s">
        <v>435</v>
      </c>
      <c r="C201" t="s">
        <v>14</v>
      </c>
      <c r="D201">
        <v>61</v>
      </c>
      <c r="E201" t="s">
        <v>15</v>
      </c>
      <c r="F201" t="s">
        <v>24</v>
      </c>
      <c r="G201">
        <v>42042</v>
      </c>
      <c r="H201" t="s">
        <v>17</v>
      </c>
      <c r="I201" s="1">
        <v>45365</v>
      </c>
      <c r="J201" t="s">
        <v>55</v>
      </c>
      <c r="K201" t="s">
        <v>44</v>
      </c>
      <c r="L201">
        <v>1</v>
      </c>
      <c r="M201" t="s">
        <v>1044</v>
      </c>
    </row>
    <row r="202" spans="1:13" x14ac:dyDescent="0.35">
      <c r="A202" t="s">
        <v>436</v>
      </c>
      <c r="B202" t="s">
        <v>437</v>
      </c>
      <c r="C202" t="s">
        <v>14</v>
      </c>
      <c r="D202">
        <v>46</v>
      </c>
      <c r="E202" t="s">
        <v>37</v>
      </c>
      <c r="F202" t="s">
        <v>29</v>
      </c>
      <c r="G202">
        <v>72930</v>
      </c>
      <c r="H202" t="s">
        <v>30</v>
      </c>
      <c r="I202" s="1">
        <v>42971</v>
      </c>
      <c r="J202" t="s">
        <v>26</v>
      </c>
      <c r="K202" t="s">
        <v>40</v>
      </c>
      <c r="L202">
        <v>8</v>
      </c>
      <c r="M202" t="s">
        <v>1046</v>
      </c>
    </row>
    <row r="203" spans="1:13" x14ac:dyDescent="0.35">
      <c r="A203" t="s">
        <v>438</v>
      </c>
      <c r="B203" t="s">
        <v>439</v>
      </c>
      <c r="C203" t="s">
        <v>22</v>
      </c>
      <c r="D203">
        <v>30</v>
      </c>
      <c r="E203" t="s">
        <v>43</v>
      </c>
      <c r="F203" t="s">
        <v>29</v>
      </c>
      <c r="G203">
        <v>195485</v>
      </c>
      <c r="H203" t="s">
        <v>30</v>
      </c>
      <c r="I203" s="1">
        <v>43537</v>
      </c>
      <c r="J203" t="s">
        <v>18</v>
      </c>
      <c r="K203" t="s">
        <v>19</v>
      </c>
      <c r="L203">
        <v>6</v>
      </c>
      <c r="M203" t="s">
        <v>1046</v>
      </c>
    </row>
    <row r="204" spans="1:13" x14ac:dyDescent="0.35">
      <c r="A204" t="s">
        <v>440</v>
      </c>
      <c r="B204" t="s">
        <v>441</v>
      </c>
      <c r="C204" t="s">
        <v>14</v>
      </c>
      <c r="D204">
        <v>29</v>
      </c>
      <c r="E204" t="s">
        <v>23</v>
      </c>
      <c r="F204" t="s">
        <v>47</v>
      </c>
      <c r="G204">
        <v>117883</v>
      </c>
      <c r="H204" t="s">
        <v>17</v>
      </c>
      <c r="I204" s="1">
        <v>45525</v>
      </c>
      <c r="J204" t="s">
        <v>18</v>
      </c>
      <c r="K204" t="s">
        <v>34</v>
      </c>
      <c r="L204">
        <v>1</v>
      </c>
      <c r="M204" t="s">
        <v>1044</v>
      </c>
    </row>
    <row r="205" spans="1:13" x14ac:dyDescent="0.35">
      <c r="A205" t="s">
        <v>442</v>
      </c>
      <c r="B205" t="s">
        <v>443</v>
      </c>
      <c r="C205" t="s">
        <v>14</v>
      </c>
      <c r="D205">
        <v>48</v>
      </c>
      <c r="E205" t="s">
        <v>15</v>
      </c>
      <c r="F205" t="s">
        <v>52</v>
      </c>
      <c r="G205">
        <v>53756</v>
      </c>
      <c r="H205" t="s">
        <v>25</v>
      </c>
      <c r="I205" s="1">
        <v>42533</v>
      </c>
      <c r="J205" t="s">
        <v>26</v>
      </c>
      <c r="K205" t="s">
        <v>44</v>
      </c>
      <c r="L205">
        <v>9</v>
      </c>
      <c r="M205" t="s">
        <v>1047</v>
      </c>
    </row>
    <row r="206" spans="1:13" x14ac:dyDescent="0.35">
      <c r="A206" t="s">
        <v>444</v>
      </c>
      <c r="B206" t="s">
        <v>445</v>
      </c>
      <c r="C206" t="s">
        <v>22</v>
      </c>
      <c r="D206">
        <v>63</v>
      </c>
      <c r="E206" t="s">
        <v>15</v>
      </c>
      <c r="F206" t="s">
        <v>33</v>
      </c>
      <c r="G206">
        <v>73268</v>
      </c>
      <c r="H206" t="s">
        <v>17</v>
      </c>
      <c r="I206" s="1">
        <v>45587</v>
      </c>
      <c r="J206" t="s">
        <v>55</v>
      </c>
      <c r="K206" t="s">
        <v>40</v>
      </c>
      <c r="L206">
        <v>1</v>
      </c>
      <c r="M206" t="s">
        <v>1044</v>
      </c>
    </row>
    <row r="207" spans="1:13" x14ac:dyDescent="0.35">
      <c r="A207" t="s">
        <v>446</v>
      </c>
      <c r="B207" t="s">
        <v>447</v>
      </c>
      <c r="C207" t="s">
        <v>14</v>
      </c>
      <c r="D207">
        <v>19</v>
      </c>
      <c r="E207" t="s">
        <v>23</v>
      </c>
      <c r="F207" t="s">
        <v>24</v>
      </c>
      <c r="G207">
        <v>190286</v>
      </c>
      <c r="H207" t="s">
        <v>25</v>
      </c>
      <c r="I207" s="1">
        <v>43918</v>
      </c>
      <c r="J207" t="s">
        <v>39</v>
      </c>
      <c r="K207" t="s">
        <v>19</v>
      </c>
      <c r="L207">
        <v>5</v>
      </c>
      <c r="M207" t="s">
        <v>1045</v>
      </c>
    </row>
    <row r="208" spans="1:13" x14ac:dyDescent="0.35">
      <c r="A208" t="s">
        <v>448</v>
      </c>
      <c r="B208" t="s">
        <v>449</v>
      </c>
      <c r="C208" t="s">
        <v>22</v>
      </c>
      <c r="D208">
        <v>68</v>
      </c>
      <c r="E208" t="s">
        <v>43</v>
      </c>
      <c r="F208" t="s">
        <v>16</v>
      </c>
      <c r="G208">
        <v>179674</v>
      </c>
      <c r="H208" t="s">
        <v>17</v>
      </c>
      <c r="I208" s="1">
        <v>43431</v>
      </c>
      <c r="J208" t="s">
        <v>55</v>
      </c>
      <c r="K208" t="s">
        <v>19</v>
      </c>
      <c r="L208">
        <v>7</v>
      </c>
      <c r="M208" t="s">
        <v>1046</v>
      </c>
    </row>
    <row r="209" spans="1:13" x14ac:dyDescent="0.35">
      <c r="A209" t="s">
        <v>450</v>
      </c>
      <c r="B209" t="s">
        <v>451</v>
      </c>
      <c r="C209" t="s">
        <v>22</v>
      </c>
      <c r="D209">
        <v>67</v>
      </c>
      <c r="E209" t="s">
        <v>43</v>
      </c>
      <c r="F209" t="s">
        <v>29</v>
      </c>
      <c r="G209">
        <v>68901</v>
      </c>
      <c r="H209" t="s">
        <v>25</v>
      </c>
      <c r="I209" s="1">
        <v>44644</v>
      </c>
      <c r="J209" t="s">
        <v>55</v>
      </c>
      <c r="K209" t="s">
        <v>40</v>
      </c>
      <c r="L209">
        <v>3</v>
      </c>
      <c r="M209" t="s">
        <v>1045</v>
      </c>
    </row>
    <row r="210" spans="1:13" x14ac:dyDescent="0.35">
      <c r="A210" t="s">
        <v>452</v>
      </c>
      <c r="B210" t="s">
        <v>453</v>
      </c>
      <c r="C210" t="s">
        <v>22</v>
      </c>
      <c r="D210">
        <v>52</v>
      </c>
      <c r="E210" t="s">
        <v>43</v>
      </c>
      <c r="F210" t="s">
        <v>52</v>
      </c>
      <c r="G210">
        <v>119986</v>
      </c>
      <c r="H210" t="s">
        <v>17</v>
      </c>
      <c r="I210" s="1">
        <v>43935</v>
      </c>
      <c r="J210" t="s">
        <v>26</v>
      </c>
      <c r="K210" t="s">
        <v>34</v>
      </c>
      <c r="L210">
        <v>5</v>
      </c>
      <c r="M210" t="s">
        <v>1045</v>
      </c>
    </row>
    <row r="211" spans="1:13" x14ac:dyDescent="0.35">
      <c r="A211" t="s">
        <v>454</v>
      </c>
      <c r="B211" t="s">
        <v>455</v>
      </c>
      <c r="C211" t="s">
        <v>14</v>
      </c>
      <c r="D211">
        <v>40</v>
      </c>
      <c r="E211" t="s">
        <v>37</v>
      </c>
      <c r="F211" t="s">
        <v>29</v>
      </c>
      <c r="G211">
        <v>183268</v>
      </c>
      <c r="H211" t="s">
        <v>25</v>
      </c>
      <c r="I211" s="1">
        <v>43742</v>
      </c>
      <c r="J211" t="s">
        <v>18</v>
      </c>
      <c r="K211" t="s">
        <v>19</v>
      </c>
      <c r="L211">
        <v>6</v>
      </c>
      <c r="M211" t="s">
        <v>1046</v>
      </c>
    </row>
    <row r="212" spans="1:13" x14ac:dyDescent="0.35">
      <c r="A212" t="s">
        <v>456</v>
      </c>
      <c r="B212" t="s">
        <v>457</v>
      </c>
      <c r="C212" t="s">
        <v>14</v>
      </c>
      <c r="D212">
        <v>34</v>
      </c>
      <c r="E212" t="s">
        <v>15</v>
      </c>
      <c r="F212" t="s">
        <v>16</v>
      </c>
      <c r="G212">
        <v>148386</v>
      </c>
      <c r="H212" t="s">
        <v>25</v>
      </c>
      <c r="I212" s="1">
        <v>43881</v>
      </c>
      <c r="J212" t="s">
        <v>18</v>
      </c>
      <c r="K212" t="s">
        <v>34</v>
      </c>
      <c r="L212">
        <v>5</v>
      </c>
      <c r="M212" t="s">
        <v>1045</v>
      </c>
    </row>
    <row r="213" spans="1:13" x14ac:dyDescent="0.35">
      <c r="A213" t="s">
        <v>458</v>
      </c>
      <c r="B213" t="s">
        <v>459</v>
      </c>
      <c r="C213" t="s">
        <v>14</v>
      </c>
      <c r="D213">
        <v>43</v>
      </c>
      <c r="E213" t="s">
        <v>15</v>
      </c>
      <c r="F213" t="s">
        <v>52</v>
      </c>
      <c r="G213">
        <v>25626</v>
      </c>
      <c r="H213" t="s">
        <v>25</v>
      </c>
      <c r="I213" s="1">
        <v>43477</v>
      </c>
      <c r="J213" t="s">
        <v>18</v>
      </c>
      <c r="K213" t="s">
        <v>44</v>
      </c>
      <c r="L213">
        <v>6</v>
      </c>
      <c r="M213" t="s">
        <v>1046</v>
      </c>
    </row>
    <row r="214" spans="1:13" x14ac:dyDescent="0.35">
      <c r="A214" t="s">
        <v>460</v>
      </c>
      <c r="B214" t="s">
        <v>461</v>
      </c>
      <c r="C214" t="s">
        <v>14</v>
      </c>
      <c r="D214">
        <v>25</v>
      </c>
      <c r="E214" t="s">
        <v>15</v>
      </c>
      <c r="F214" t="s">
        <v>52</v>
      </c>
      <c r="G214">
        <v>158496</v>
      </c>
      <c r="H214" t="s">
        <v>17</v>
      </c>
      <c r="I214" s="1">
        <v>42973</v>
      </c>
      <c r="J214" t="s">
        <v>39</v>
      </c>
      <c r="K214" t="s">
        <v>19</v>
      </c>
      <c r="L214">
        <v>8</v>
      </c>
      <c r="M214" t="s">
        <v>1046</v>
      </c>
    </row>
    <row r="215" spans="1:13" x14ac:dyDescent="0.35">
      <c r="A215" t="s">
        <v>462</v>
      </c>
      <c r="B215" t="s">
        <v>463</v>
      </c>
      <c r="C215" t="s">
        <v>14</v>
      </c>
      <c r="D215">
        <v>46</v>
      </c>
      <c r="E215" t="s">
        <v>37</v>
      </c>
      <c r="F215" t="s">
        <v>24</v>
      </c>
      <c r="G215">
        <v>32857</v>
      </c>
      <c r="H215" t="s">
        <v>17</v>
      </c>
      <c r="I215" s="1">
        <v>44799</v>
      </c>
      <c r="J215" t="s">
        <v>26</v>
      </c>
      <c r="K215" t="s">
        <v>44</v>
      </c>
      <c r="L215">
        <v>3</v>
      </c>
      <c r="M215" t="s">
        <v>1045</v>
      </c>
    </row>
    <row r="216" spans="1:13" x14ac:dyDescent="0.35">
      <c r="A216" t="s">
        <v>464</v>
      </c>
      <c r="B216" t="s">
        <v>465</v>
      </c>
      <c r="C216" t="s">
        <v>14</v>
      </c>
      <c r="D216">
        <v>43</v>
      </c>
      <c r="E216" t="s">
        <v>15</v>
      </c>
      <c r="F216" t="s">
        <v>24</v>
      </c>
      <c r="G216">
        <v>171054</v>
      </c>
      <c r="H216" t="s">
        <v>17</v>
      </c>
      <c r="I216" s="1">
        <v>43877</v>
      </c>
      <c r="J216" t="s">
        <v>18</v>
      </c>
      <c r="K216" t="s">
        <v>19</v>
      </c>
      <c r="L216">
        <v>5</v>
      </c>
      <c r="M216" t="s">
        <v>1045</v>
      </c>
    </row>
    <row r="217" spans="1:13" x14ac:dyDescent="0.35">
      <c r="A217" t="s">
        <v>466</v>
      </c>
      <c r="B217" t="s">
        <v>467</v>
      </c>
      <c r="C217" t="s">
        <v>14</v>
      </c>
      <c r="D217">
        <v>27</v>
      </c>
      <c r="E217" t="s">
        <v>37</v>
      </c>
      <c r="F217" t="s">
        <v>33</v>
      </c>
      <c r="G217">
        <v>153052</v>
      </c>
      <c r="H217" t="s">
        <v>17</v>
      </c>
      <c r="I217" s="1">
        <v>42311</v>
      </c>
      <c r="J217" t="s">
        <v>39</v>
      </c>
      <c r="K217" t="s">
        <v>34</v>
      </c>
      <c r="L217">
        <v>10</v>
      </c>
      <c r="M217" t="s">
        <v>1047</v>
      </c>
    </row>
    <row r="218" spans="1:13" x14ac:dyDescent="0.35">
      <c r="A218" t="s">
        <v>468</v>
      </c>
      <c r="B218" t="s">
        <v>469</v>
      </c>
      <c r="C218" t="s">
        <v>22</v>
      </c>
      <c r="D218">
        <v>43</v>
      </c>
      <c r="E218" t="s">
        <v>43</v>
      </c>
      <c r="F218" t="s">
        <v>33</v>
      </c>
      <c r="G218">
        <v>199362</v>
      </c>
      <c r="H218" t="s">
        <v>17</v>
      </c>
      <c r="I218" s="1">
        <v>45083</v>
      </c>
      <c r="J218" t="s">
        <v>18</v>
      </c>
      <c r="K218" t="s">
        <v>19</v>
      </c>
      <c r="L218">
        <v>2</v>
      </c>
      <c r="M218" t="s">
        <v>1044</v>
      </c>
    </row>
    <row r="219" spans="1:13" x14ac:dyDescent="0.35">
      <c r="A219" t="s">
        <v>470</v>
      </c>
      <c r="B219" t="s">
        <v>471</v>
      </c>
      <c r="C219" t="s">
        <v>14</v>
      </c>
      <c r="D219">
        <v>51</v>
      </c>
      <c r="E219" t="s">
        <v>23</v>
      </c>
      <c r="F219" t="s">
        <v>38</v>
      </c>
      <c r="G219">
        <v>46431</v>
      </c>
      <c r="H219" t="s">
        <v>30</v>
      </c>
      <c r="I219" s="1">
        <v>42586</v>
      </c>
      <c r="J219" t="s">
        <v>26</v>
      </c>
      <c r="K219" t="s">
        <v>44</v>
      </c>
      <c r="L219">
        <v>9</v>
      </c>
      <c r="M219" t="s">
        <v>1047</v>
      </c>
    </row>
    <row r="220" spans="1:13" x14ac:dyDescent="0.35">
      <c r="A220" t="s">
        <v>472</v>
      </c>
      <c r="B220" t="s">
        <v>473</v>
      </c>
      <c r="C220" t="s">
        <v>22</v>
      </c>
      <c r="D220">
        <v>68</v>
      </c>
      <c r="E220" t="s">
        <v>15</v>
      </c>
      <c r="F220" t="s">
        <v>38</v>
      </c>
      <c r="G220">
        <v>104976</v>
      </c>
      <c r="H220" t="s">
        <v>17</v>
      </c>
      <c r="I220" s="1">
        <v>43719</v>
      </c>
      <c r="J220" t="s">
        <v>55</v>
      </c>
      <c r="K220" t="s">
        <v>40</v>
      </c>
      <c r="L220">
        <v>6</v>
      </c>
      <c r="M220" t="s">
        <v>1046</v>
      </c>
    </row>
    <row r="221" spans="1:13" x14ac:dyDescent="0.35">
      <c r="A221" t="s">
        <v>474</v>
      </c>
      <c r="B221" t="s">
        <v>475</v>
      </c>
      <c r="C221" t="s">
        <v>14</v>
      </c>
      <c r="D221">
        <v>58</v>
      </c>
      <c r="E221" t="s">
        <v>15</v>
      </c>
      <c r="F221" t="s">
        <v>47</v>
      </c>
      <c r="G221">
        <v>102711</v>
      </c>
      <c r="H221" t="s">
        <v>17</v>
      </c>
      <c r="I221" s="1">
        <v>45427</v>
      </c>
      <c r="J221" t="s">
        <v>26</v>
      </c>
      <c r="K221" t="s">
        <v>40</v>
      </c>
      <c r="L221">
        <v>1</v>
      </c>
      <c r="M221" t="s">
        <v>1044</v>
      </c>
    </row>
    <row r="222" spans="1:13" x14ac:dyDescent="0.35">
      <c r="A222" t="s">
        <v>476</v>
      </c>
      <c r="B222" t="s">
        <v>477</v>
      </c>
      <c r="C222" t="s">
        <v>14</v>
      </c>
      <c r="D222">
        <v>24</v>
      </c>
      <c r="E222" t="s">
        <v>43</v>
      </c>
      <c r="F222" t="s">
        <v>29</v>
      </c>
      <c r="G222">
        <v>46385</v>
      </c>
      <c r="H222" t="s">
        <v>17</v>
      </c>
      <c r="I222" s="1">
        <v>43046</v>
      </c>
      <c r="J222" t="s">
        <v>39</v>
      </c>
      <c r="K222" t="s">
        <v>44</v>
      </c>
      <c r="L222">
        <v>8</v>
      </c>
      <c r="M222" t="s">
        <v>1046</v>
      </c>
    </row>
    <row r="223" spans="1:13" x14ac:dyDescent="0.35">
      <c r="A223" t="s">
        <v>478</v>
      </c>
      <c r="B223" t="s">
        <v>479</v>
      </c>
      <c r="C223" t="s">
        <v>14</v>
      </c>
      <c r="D223">
        <v>21</v>
      </c>
      <c r="E223" t="s">
        <v>23</v>
      </c>
      <c r="F223" t="s">
        <v>33</v>
      </c>
      <c r="G223">
        <v>189230</v>
      </c>
      <c r="H223" t="s">
        <v>17</v>
      </c>
      <c r="I223" s="1">
        <v>45495</v>
      </c>
      <c r="J223" t="s">
        <v>39</v>
      </c>
      <c r="K223" t="s">
        <v>19</v>
      </c>
      <c r="L223">
        <v>1</v>
      </c>
      <c r="M223" t="s">
        <v>1044</v>
      </c>
    </row>
    <row r="224" spans="1:13" x14ac:dyDescent="0.35">
      <c r="A224" t="s">
        <v>480</v>
      </c>
      <c r="B224" t="s">
        <v>481</v>
      </c>
      <c r="C224" t="s">
        <v>22</v>
      </c>
      <c r="D224">
        <v>70</v>
      </c>
      <c r="E224" t="s">
        <v>37</v>
      </c>
      <c r="F224" t="s">
        <v>24</v>
      </c>
      <c r="G224">
        <v>174091</v>
      </c>
      <c r="H224" t="s">
        <v>25</v>
      </c>
      <c r="I224" s="1">
        <v>42378</v>
      </c>
      <c r="J224" t="s">
        <v>55</v>
      </c>
      <c r="K224" t="s">
        <v>19</v>
      </c>
      <c r="L224">
        <v>9</v>
      </c>
      <c r="M224" t="s">
        <v>1047</v>
      </c>
    </row>
    <row r="225" spans="1:13" x14ac:dyDescent="0.35">
      <c r="A225" t="s">
        <v>482</v>
      </c>
      <c r="B225" t="s">
        <v>483</v>
      </c>
      <c r="C225" t="s">
        <v>22</v>
      </c>
      <c r="D225">
        <v>67</v>
      </c>
      <c r="E225" t="s">
        <v>23</v>
      </c>
      <c r="F225" t="s">
        <v>16</v>
      </c>
      <c r="G225">
        <v>38639</v>
      </c>
      <c r="H225" t="s">
        <v>17</v>
      </c>
      <c r="I225" s="1">
        <v>42653</v>
      </c>
      <c r="J225" t="s">
        <v>55</v>
      </c>
      <c r="K225" t="s">
        <v>44</v>
      </c>
      <c r="L225">
        <v>9</v>
      </c>
      <c r="M225" t="s">
        <v>1047</v>
      </c>
    </row>
    <row r="226" spans="1:13" x14ac:dyDescent="0.35">
      <c r="A226" t="s">
        <v>484</v>
      </c>
      <c r="B226" t="s">
        <v>485</v>
      </c>
      <c r="C226" t="s">
        <v>22</v>
      </c>
      <c r="D226">
        <v>62</v>
      </c>
      <c r="E226" t="s">
        <v>43</v>
      </c>
      <c r="F226" t="s">
        <v>24</v>
      </c>
      <c r="G226">
        <v>105530</v>
      </c>
      <c r="H226" t="s">
        <v>30</v>
      </c>
      <c r="I226" s="1">
        <v>43070</v>
      </c>
      <c r="J226" t="s">
        <v>55</v>
      </c>
      <c r="K226" t="s">
        <v>40</v>
      </c>
      <c r="L226">
        <v>8</v>
      </c>
      <c r="M226" t="s">
        <v>1046</v>
      </c>
    </row>
    <row r="227" spans="1:13" x14ac:dyDescent="0.35">
      <c r="A227" t="s">
        <v>486</v>
      </c>
      <c r="B227" t="s">
        <v>487</v>
      </c>
      <c r="C227" t="s">
        <v>22</v>
      </c>
      <c r="D227">
        <v>28</v>
      </c>
      <c r="E227" t="s">
        <v>43</v>
      </c>
      <c r="F227" t="s">
        <v>29</v>
      </c>
      <c r="G227">
        <v>41563</v>
      </c>
      <c r="H227" t="s">
        <v>17</v>
      </c>
      <c r="I227" s="1">
        <v>45387</v>
      </c>
      <c r="J227" t="s">
        <v>39</v>
      </c>
      <c r="K227" t="s">
        <v>44</v>
      </c>
      <c r="L227">
        <v>1</v>
      </c>
      <c r="M227" t="s">
        <v>1044</v>
      </c>
    </row>
    <row r="228" spans="1:13" x14ac:dyDescent="0.35">
      <c r="A228" t="s">
        <v>488</v>
      </c>
      <c r="B228" t="s">
        <v>489</v>
      </c>
      <c r="C228" t="s">
        <v>14</v>
      </c>
      <c r="D228">
        <v>46</v>
      </c>
      <c r="E228" t="s">
        <v>23</v>
      </c>
      <c r="F228" t="s">
        <v>38</v>
      </c>
      <c r="G228">
        <v>190413</v>
      </c>
      <c r="H228" t="s">
        <v>30</v>
      </c>
      <c r="I228" s="1">
        <v>42873</v>
      </c>
      <c r="J228" t="s">
        <v>26</v>
      </c>
      <c r="K228" t="s">
        <v>19</v>
      </c>
      <c r="L228">
        <v>8</v>
      </c>
      <c r="M228" t="s">
        <v>1046</v>
      </c>
    </row>
    <row r="229" spans="1:13" x14ac:dyDescent="0.35">
      <c r="A229" t="s">
        <v>490</v>
      </c>
      <c r="B229" t="s">
        <v>491</v>
      </c>
      <c r="C229" t="s">
        <v>22</v>
      </c>
      <c r="D229">
        <v>73</v>
      </c>
      <c r="E229" t="s">
        <v>37</v>
      </c>
      <c r="F229" t="s">
        <v>24</v>
      </c>
      <c r="G229">
        <v>135672</v>
      </c>
      <c r="H229" t="s">
        <v>25</v>
      </c>
      <c r="I229" s="1">
        <v>43479</v>
      </c>
      <c r="J229" t="s">
        <v>55</v>
      </c>
      <c r="K229" t="s">
        <v>34</v>
      </c>
      <c r="L229">
        <v>6</v>
      </c>
      <c r="M229" t="s">
        <v>1046</v>
      </c>
    </row>
    <row r="230" spans="1:13" x14ac:dyDescent="0.35">
      <c r="A230" t="s">
        <v>492</v>
      </c>
      <c r="B230" t="s">
        <v>493</v>
      </c>
      <c r="C230" t="s">
        <v>14</v>
      </c>
      <c r="D230">
        <v>53</v>
      </c>
      <c r="E230" t="s">
        <v>37</v>
      </c>
      <c r="F230" t="s">
        <v>47</v>
      </c>
      <c r="G230">
        <v>156848</v>
      </c>
      <c r="H230" t="s">
        <v>17</v>
      </c>
      <c r="I230" s="1">
        <v>44786</v>
      </c>
      <c r="J230" t="s">
        <v>26</v>
      </c>
      <c r="K230" t="s">
        <v>19</v>
      </c>
      <c r="L230">
        <v>3</v>
      </c>
      <c r="M230" t="s">
        <v>1045</v>
      </c>
    </row>
    <row r="231" spans="1:13" x14ac:dyDescent="0.35">
      <c r="A231" t="s">
        <v>494</v>
      </c>
      <c r="B231" t="s">
        <v>495</v>
      </c>
      <c r="C231" t="s">
        <v>14</v>
      </c>
      <c r="D231">
        <v>42</v>
      </c>
      <c r="E231" t="s">
        <v>15</v>
      </c>
      <c r="F231" t="s">
        <v>29</v>
      </c>
      <c r="G231">
        <v>187516</v>
      </c>
      <c r="H231" t="s">
        <v>30</v>
      </c>
      <c r="I231" s="1">
        <v>43184</v>
      </c>
      <c r="J231" t="s">
        <v>18</v>
      </c>
      <c r="K231" t="s">
        <v>19</v>
      </c>
      <c r="L231">
        <v>7</v>
      </c>
      <c r="M231" t="s">
        <v>1046</v>
      </c>
    </row>
    <row r="232" spans="1:13" x14ac:dyDescent="0.35">
      <c r="A232" t="s">
        <v>496</v>
      </c>
      <c r="B232" t="s">
        <v>497</v>
      </c>
      <c r="C232" t="s">
        <v>22</v>
      </c>
      <c r="D232">
        <v>38</v>
      </c>
      <c r="E232" t="s">
        <v>37</v>
      </c>
      <c r="F232" t="s">
        <v>38</v>
      </c>
      <c r="G232">
        <v>159783</v>
      </c>
      <c r="H232" t="s">
        <v>17</v>
      </c>
      <c r="I232" s="1">
        <v>44937</v>
      </c>
      <c r="J232" t="s">
        <v>18</v>
      </c>
      <c r="K232" t="s">
        <v>19</v>
      </c>
      <c r="L232">
        <v>2</v>
      </c>
      <c r="M232" t="s">
        <v>1044</v>
      </c>
    </row>
    <row r="233" spans="1:13" x14ac:dyDescent="0.35">
      <c r="A233" t="s">
        <v>498</v>
      </c>
      <c r="B233" t="s">
        <v>499</v>
      </c>
      <c r="C233" t="s">
        <v>22</v>
      </c>
      <c r="D233">
        <v>74</v>
      </c>
      <c r="E233" t="s">
        <v>23</v>
      </c>
      <c r="F233" t="s">
        <v>16</v>
      </c>
      <c r="G233">
        <v>102970</v>
      </c>
      <c r="H233" t="s">
        <v>25</v>
      </c>
      <c r="I233" s="1">
        <v>43335</v>
      </c>
      <c r="J233" t="s">
        <v>55</v>
      </c>
      <c r="K233" t="s">
        <v>40</v>
      </c>
      <c r="L233">
        <v>7</v>
      </c>
      <c r="M233" t="s">
        <v>1046</v>
      </c>
    </row>
    <row r="234" spans="1:13" x14ac:dyDescent="0.35">
      <c r="A234" t="s">
        <v>500</v>
      </c>
      <c r="B234" t="s">
        <v>501</v>
      </c>
      <c r="C234" t="s">
        <v>22</v>
      </c>
      <c r="D234">
        <v>53</v>
      </c>
      <c r="E234" t="s">
        <v>43</v>
      </c>
      <c r="F234" t="s">
        <v>38</v>
      </c>
      <c r="G234">
        <v>105553</v>
      </c>
      <c r="H234" t="s">
        <v>17</v>
      </c>
      <c r="I234" s="1">
        <v>42932</v>
      </c>
      <c r="J234" t="s">
        <v>26</v>
      </c>
      <c r="K234" t="s">
        <v>40</v>
      </c>
      <c r="L234">
        <v>8</v>
      </c>
      <c r="M234" t="s">
        <v>1046</v>
      </c>
    </row>
    <row r="235" spans="1:13" x14ac:dyDescent="0.35">
      <c r="A235" t="s">
        <v>502</v>
      </c>
      <c r="B235" t="s">
        <v>503</v>
      </c>
      <c r="C235" t="s">
        <v>22</v>
      </c>
      <c r="D235">
        <v>27</v>
      </c>
      <c r="E235" t="s">
        <v>15</v>
      </c>
      <c r="F235" t="s">
        <v>52</v>
      </c>
      <c r="G235">
        <v>181779</v>
      </c>
      <c r="H235" t="s">
        <v>25</v>
      </c>
      <c r="I235" s="1">
        <v>42976</v>
      </c>
      <c r="J235" t="s">
        <v>39</v>
      </c>
      <c r="K235" t="s">
        <v>19</v>
      </c>
      <c r="L235">
        <v>8</v>
      </c>
      <c r="M235" t="s">
        <v>1046</v>
      </c>
    </row>
    <row r="236" spans="1:13" x14ac:dyDescent="0.35">
      <c r="A236" t="s">
        <v>504</v>
      </c>
      <c r="B236" t="s">
        <v>505</v>
      </c>
      <c r="C236" t="s">
        <v>22</v>
      </c>
      <c r="D236">
        <v>54</v>
      </c>
      <c r="E236" t="s">
        <v>15</v>
      </c>
      <c r="F236" t="s">
        <v>47</v>
      </c>
      <c r="G236">
        <v>190182</v>
      </c>
      <c r="H236" t="s">
        <v>25</v>
      </c>
      <c r="I236" s="1">
        <v>45033</v>
      </c>
      <c r="J236" t="s">
        <v>26</v>
      </c>
      <c r="K236" t="s">
        <v>19</v>
      </c>
      <c r="L236">
        <v>2</v>
      </c>
      <c r="M236" t="s">
        <v>1044</v>
      </c>
    </row>
    <row r="237" spans="1:13" x14ac:dyDescent="0.35">
      <c r="A237" t="s">
        <v>506</v>
      </c>
      <c r="B237" t="s">
        <v>507</v>
      </c>
      <c r="C237" t="s">
        <v>22</v>
      </c>
      <c r="D237">
        <v>26</v>
      </c>
      <c r="E237" t="s">
        <v>43</v>
      </c>
      <c r="F237" t="s">
        <v>29</v>
      </c>
      <c r="G237">
        <v>102879</v>
      </c>
      <c r="H237" t="s">
        <v>25</v>
      </c>
      <c r="I237" s="1">
        <v>42866</v>
      </c>
      <c r="J237" t="s">
        <v>39</v>
      </c>
      <c r="K237" t="s">
        <v>40</v>
      </c>
      <c r="L237">
        <v>8</v>
      </c>
      <c r="M237" t="s">
        <v>1046</v>
      </c>
    </row>
    <row r="238" spans="1:13" x14ac:dyDescent="0.35">
      <c r="A238" t="s">
        <v>508</v>
      </c>
      <c r="B238" t="s">
        <v>509</v>
      </c>
      <c r="C238" t="s">
        <v>22</v>
      </c>
      <c r="D238">
        <v>41</v>
      </c>
      <c r="E238" t="s">
        <v>37</v>
      </c>
      <c r="F238" t="s">
        <v>16</v>
      </c>
      <c r="G238">
        <v>189899</v>
      </c>
      <c r="H238" t="s">
        <v>25</v>
      </c>
      <c r="I238" s="1">
        <v>45579</v>
      </c>
      <c r="J238" t="s">
        <v>18</v>
      </c>
      <c r="K238" t="s">
        <v>19</v>
      </c>
      <c r="L238">
        <v>1</v>
      </c>
      <c r="M238" t="s">
        <v>1044</v>
      </c>
    </row>
    <row r="239" spans="1:13" x14ac:dyDescent="0.35">
      <c r="A239" t="s">
        <v>510</v>
      </c>
      <c r="B239" t="s">
        <v>511</v>
      </c>
      <c r="C239" t="s">
        <v>22</v>
      </c>
      <c r="D239">
        <v>52</v>
      </c>
      <c r="E239" t="s">
        <v>43</v>
      </c>
      <c r="F239" t="s">
        <v>47</v>
      </c>
      <c r="G239">
        <v>156727</v>
      </c>
      <c r="H239" t="s">
        <v>17</v>
      </c>
      <c r="I239" s="1">
        <v>44108</v>
      </c>
      <c r="J239" t="s">
        <v>26</v>
      </c>
      <c r="K239" t="s">
        <v>19</v>
      </c>
      <c r="L239">
        <v>5</v>
      </c>
      <c r="M239" t="s">
        <v>1045</v>
      </c>
    </row>
    <row r="240" spans="1:13" x14ac:dyDescent="0.35">
      <c r="A240" t="s">
        <v>512</v>
      </c>
      <c r="B240" t="s">
        <v>513</v>
      </c>
      <c r="C240" t="s">
        <v>14</v>
      </c>
      <c r="D240">
        <v>66</v>
      </c>
      <c r="E240" t="s">
        <v>37</v>
      </c>
      <c r="F240" t="s">
        <v>38</v>
      </c>
      <c r="G240">
        <v>64859</v>
      </c>
      <c r="H240" t="s">
        <v>17</v>
      </c>
      <c r="I240" s="1">
        <v>45601</v>
      </c>
      <c r="J240" t="s">
        <v>55</v>
      </c>
      <c r="K240" t="s">
        <v>44</v>
      </c>
      <c r="L240">
        <v>1</v>
      </c>
      <c r="M240" t="s">
        <v>1044</v>
      </c>
    </row>
    <row r="241" spans="1:13" x14ac:dyDescent="0.35">
      <c r="A241" t="s">
        <v>514</v>
      </c>
      <c r="B241" t="s">
        <v>515</v>
      </c>
      <c r="C241" t="s">
        <v>22</v>
      </c>
      <c r="D241">
        <v>52</v>
      </c>
      <c r="E241" t="s">
        <v>43</v>
      </c>
      <c r="F241" t="s">
        <v>47</v>
      </c>
      <c r="G241">
        <v>72098</v>
      </c>
      <c r="H241" t="s">
        <v>17</v>
      </c>
      <c r="I241" s="1">
        <v>44544</v>
      </c>
      <c r="J241" t="s">
        <v>26</v>
      </c>
      <c r="K241" t="s">
        <v>40</v>
      </c>
      <c r="L241">
        <v>4</v>
      </c>
      <c r="M241" t="s">
        <v>1045</v>
      </c>
    </row>
    <row r="242" spans="1:13" x14ac:dyDescent="0.35">
      <c r="A242" t="s">
        <v>516</v>
      </c>
      <c r="B242" t="s">
        <v>517</v>
      </c>
      <c r="C242" t="s">
        <v>22</v>
      </c>
      <c r="D242">
        <v>65</v>
      </c>
      <c r="E242" t="s">
        <v>23</v>
      </c>
      <c r="F242" t="s">
        <v>29</v>
      </c>
      <c r="G242">
        <v>166323</v>
      </c>
      <c r="H242" t="s">
        <v>17</v>
      </c>
      <c r="I242" s="1">
        <v>45420</v>
      </c>
      <c r="J242" t="s">
        <v>55</v>
      </c>
      <c r="K242" t="s">
        <v>19</v>
      </c>
      <c r="L242">
        <v>1</v>
      </c>
      <c r="M242" t="s">
        <v>1044</v>
      </c>
    </row>
    <row r="243" spans="1:13" x14ac:dyDescent="0.35">
      <c r="A243" t="s">
        <v>518</v>
      </c>
      <c r="B243" t="s">
        <v>519</v>
      </c>
      <c r="C243" t="s">
        <v>14</v>
      </c>
      <c r="D243">
        <v>53</v>
      </c>
      <c r="E243" t="s">
        <v>37</v>
      </c>
      <c r="F243" t="s">
        <v>33</v>
      </c>
      <c r="G243">
        <v>142413</v>
      </c>
      <c r="H243" t="s">
        <v>25</v>
      </c>
      <c r="I243" s="1">
        <v>44622</v>
      </c>
      <c r="J243" t="s">
        <v>26</v>
      </c>
      <c r="K243" t="s">
        <v>34</v>
      </c>
      <c r="L243">
        <v>3</v>
      </c>
      <c r="M243" t="s">
        <v>1045</v>
      </c>
    </row>
    <row r="244" spans="1:13" x14ac:dyDescent="0.35">
      <c r="A244" t="s">
        <v>520</v>
      </c>
      <c r="B244" t="s">
        <v>521</v>
      </c>
      <c r="C244" t="s">
        <v>22</v>
      </c>
      <c r="D244">
        <v>35</v>
      </c>
      <c r="E244" t="s">
        <v>23</v>
      </c>
      <c r="F244" t="s">
        <v>47</v>
      </c>
      <c r="G244">
        <v>20526</v>
      </c>
      <c r="H244" t="s">
        <v>17</v>
      </c>
      <c r="I244" s="1">
        <v>43688</v>
      </c>
      <c r="J244" t="s">
        <v>18</v>
      </c>
      <c r="K244" t="s">
        <v>44</v>
      </c>
      <c r="L244">
        <v>6</v>
      </c>
      <c r="M244" t="s">
        <v>1046</v>
      </c>
    </row>
    <row r="245" spans="1:13" x14ac:dyDescent="0.35">
      <c r="A245" t="s">
        <v>522</v>
      </c>
      <c r="B245" t="s">
        <v>523</v>
      </c>
      <c r="C245" t="s">
        <v>14</v>
      </c>
      <c r="D245">
        <v>66</v>
      </c>
      <c r="E245" t="s">
        <v>15</v>
      </c>
      <c r="F245" t="s">
        <v>52</v>
      </c>
      <c r="G245">
        <v>88760</v>
      </c>
      <c r="H245" t="s">
        <v>30</v>
      </c>
      <c r="I245" s="1">
        <v>44922</v>
      </c>
      <c r="J245" t="s">
        <v>55</v>
      </c>
      <c r="K245" t="s">
        <v>40</v>
      </c>
      <c r="L245">
        <v>3</v>
      </c>
      <c r="M245" t="s">
        <v>1045</v>
      </c>
    </row>
    <row r="246" spans="1:13" x14ac:dyDescent="0.35">
      <c r="A246" t="s">
        <v>524</v>
      </c>
      <c r="B246" t="s">
        <v>525</v>
      </c>
      <c r="C246" t="s">
        <v>14</v>
      </c>
      <c r="D246">
        <v>56</v>
      </c>
      <c r="E246" t="s">
        <v>43</v>
      </c>
      <c r="F246" t="s">
        <v>47</v>
      </c>
      <c r="G246">
        <v>67837</v>
      </c>
      <c r="H246" t="s">
        <v>25</v>
      </c>
      <c r="I246" s="1">
        <v>43395</v>
      </c>
      <c r="J246" t="s">
        <v>26</v>
      </c>
      <c r="K246" t="s">
        <v>40</v>
      </c>
      <c r="L246">
        <v>7</v>
      </c>
      <c r="M246" t="s">
        <v>1046</v>
      </c>
    </row>
    <row r="247" spans="1:13" x14ac:dyDescent="0.35">
      <c r="A247" t="s">
        <v>526</v>
      </c>
      <c r="B247" t="s">
        <v>527</v>
      </c>
      <c r="C247" t="s">
        <v>22</v>
      </c>
      <c r="D247">
        <v>49</v>
      </c>
      <c r="E247" t="s">
        <v>15</v>
      </c>
      <c r="F247" t="s">
        <v>38</v>
      </c>
      <c r="G247">
        <v>31536</v>
      </c>
      <c r="H247" t="s">
        <v>25</v>
      </c>
      <c r="I247" s="1">
        <v>43113</v>
      </c>
      <c r="J247" t="s">
        <v>26</v>
      </c>
      <c r="K247" t="s">
        <v>44</v>
      </c>
      <c r="L247">
        <v>7</v>
      </c>
      <c r="M247" t="s">
        <v>1046</v>
      </c>
    </row>
    <row r="248" spans="1:13" x14ac:dyDescent="0.35">
      <c r="A248" t="s">
        <v>528</v>
      </c>
      <c r="B248" t="s">
        <v>529</v>
      </c>
      <c r="C248" t="s">
        <v>14</v>
      </c>
      <c r="D248">
        <v>41</v>
      </c>
      <c r="E248" t="s">
        <v>15</v>
      </c>
      <c r="F248" t="s">
        <v>38</v>
      </c>
      <c r="G248">
        <v>48541</v>
      </c>
      <c r="H248" t="s">
        <v>17</v>
      </c>
      <c r="I248" s="1">
        <v>44257</v>
      </c>
      <c r="J248" t="s">
        <v>18</v>
      </c>
      <c r="K248" t="s">
        <v>44</v>
      </c>
      <c r="L248">
        <v>4</v>
      </c>
      <c r="M248" t="s">
        <v>1045</v>
      </c>
    </row>
    <row r="249" spans="1:13" x14ac:dyDescent="0.35">
      <c r="A249" t="s">
        <v>530</v>
      </c>
      <c r="B249" t="s">
        <v>531</v>
      </c>
      <c r="C249" t="s">
        <v>14</v>
      </c>
      <c r="D249">
        <v>40</v>
      </c>
      <c r="E249" t="s">
        <v>15</v>
      </c>
      <c r="F249" t="s">
        <v>16</v>
      </c>
      <c r="G249">
        <v>99083</v>
      </c>
      <c r="H249" t="s">
        <v>25</v>
      </c>
      <c r="I249" s="1">
        <v>45179</v>
      </c>
      <c r="J249" t="s">
        <v>18</v>
      </c>
      <c r="K249" t="s">
        <v>40</v>
      </c>
      <c r="L249">
        <v>2</v>
      </c>
      <c r="M249" t="s">
        <v>1044</v>
      </c>
    </row>
    <row r="250" spans="1:13" x14ac:dyDescent="0.35">
      <c r="A250" t="s">
        <v>532</v>
      </c>
      <c r="B250" t="s">
        <v>533</v>
      </c>
      <c r="C250" t="s">
        <v>14</v>
      </c>
      <c r="D250">
        <v>49</v>
      </c>
      <c r="E250" t="s">
        <v>15</v>
      </c>
      <c r="F250" t="s">
        <v>38</v>
      </c>
      <c r="G250">
        <v>54531</v>
      </c>
      <c r="H250" t="s">
        <v>30</v>
      </c>
      <c r="I250" s="1">
        <v>44203</v>
      </c>
      <c r="J250" t="s">
        <v>26</v>
      </c>
      <c r="K250" t="s">
        <v>44</v>
      </c>
      <c r="L250">
        <v>4</v>
      </c>
      <c r="M250" t="s">
        <v>1045</v>
      </c>
    </row>
    <row r="251" spans="1:13" x14ac:dyDescent="0.35">
      <c r="A251" t="s">
        <v>534</v>
      </c>
      <c r="B251" t="s">
        <v>535</v>
      </c>
      <c r="C251" t="s">
        <v>14</v>
      </c>
      <c r="D251">
        <v>54</v>
      </c>
      <c r="E251" t="s">
        <v>43</v>
      </c>
      <c r="F251" t="s">
        <v>24</v>
      </c>
      <c r="G251">
        <v>28712</v>
      </c>
      <c r="H251" t="s">
        <v>17</v>
      </c>
      <c r="I251" s="1">
        <v>43294</v>
      </c>
      <c r="J251" t="s">
        <v>26</v>
      </c>
      <c r="K251" t="s">
        <v>44</v>
      </c>
      <c r="L251">
        <v>7</v>
      </c>
      <c r="M251" t="s">
        <v>1046</v>
      </c>
    </row>
    <row r="252" spans="1:13" x14ac:dyDescent="0.35">
      <c r="A252" t="s">
        <v>536</v>
      </c>
      <c r="B252" t="s">
        <v>537</v>
      </c>
      <c r="C252" t="s">
        <v>22</v>
      </c>
      <c r="D252">
        <v>29</v>
      </c>
      <c r="E252" t="s">
        <v>15</v>
      </c>
      <c r="F252" t="s">
        <v>29</v>
      </c>
      <c r="G252">
        <v>124101</v>
      </c>
      <c r="H252" t="s">
        <v>25</v>
      </c>
      <c r="I252" s="1">
        <v>45422</v>
      </c>
      <c r="J252" t="s">
        <v>18</v>
      </c>
      <c r="K252" t="s">
        <v>34</v>
      </c>
      <c r="L252">
        <v>1</v>
      </c>
      <c r="M252" t="s">
        <v>1044</v>
      </c>
    </row>
    <row r="253" spans="1:13" x14ac:dyDescent="0.35">
      <c r="A253" t="s">
        <v>538</v>
      </c>
      <c r="B253" t="s">
        <v>539</v>
      </c>
      <c r="C253" t="s">
        <v>14</v>
      </c>
      <c r="D253">
        <v>66</v>
      </c>
      <c r="E253" t="s">
        <v>43</v>
      </c>
      <c r="F253" t="s">
        <v>29</v>
      </c>
      <c r="G253">
        <v>85455</v>
      </c>
      <c r="H253" t="s">
        <v>25</v>
      </c>
      <c r="I253" s="1">
        <v>45078</v>
      </c>
      <c r="J253" t="s">
        <v>55</v>
      </c>
      <c r="K253" t="s">
        <v>40</v>
      </c>
      <c r="L253">
        <v>2</v>
      </c>
      <c r="M253" t="s">
        <v>1044</v>
      </c>
    </row>
    <row r="254" spans="1:13" x14ac:dyDescent="0.35">
      <c r="A254" t="s">
        <v>540</v>
      </c>
      <c r="B254" t="s">
        <v>541</v>
      </c>
      <c r="C254" t="s">
        <v>22</v>
      </c>
      <c r="D254">
        <v>72</v>
      </c>
      <c r="E254" t="s">
        <v>43</v>
      </c>
      <c r="F254" t="s">
        <v>33</v>
      </c>
      <c r="G254">
        <v>94744</v>
      </c>
      <c r="H254" t="s">
        <v>17</v>
      </c>
      <c r="I254" s="1">
        <v>43323</v>
      </c>
      <c r="J254" t="s">
        <v>55</v>
      </c>
      <c r="K254" t="s">
        <v>40</v>
      </c>
      <c r="L254">
        <v>7</v>
      </c>
      <c r="M254" t="s">
        <v>1046</v>
      </c>
    </row>
    <row r="255" spans="1:13" x14ac:dyDescent="0.35">
      <c r="A255" t="s">
        <v>542</v>
      </c>
      <c r="B255" t="s">
        <v>543</v>
      </c>
      <c r="C255" t="s">
        <v>14</v>
      </c>
      <c r="D255">
        <v>30</v>
      </c>
      <c r="E255" t="s">
        <v>23</v>
      </c>
      <c r="F255" t="s">
        <v>33</v>
      </c>
      <c r="G255">
        <v>149749</v>
      </c>
      <c r="H255" t="s">
        <v>17</v>
      </c>
      <c r="I255" s="1">
        <v>42930</v>
      </c>
      <c r="J255" t="s">
        <v>18</v>
      </c>
      <c r="K255" t="s">
        <v>34</v>
      </c>
      <c r="L255">
        <v>8</v>
      </c>
      <c r="M255" t="s">
        <v>1046</v>
      </c>
    </row>
    <row r="256" spans="1:13" x14ac:dyDescent="0.35">
      <c r="A256" t="s">
        <v>544</v>
      </c>
      <c r="B256" t="s">
        <v>545</v>
      </c>
      <c r="C256" t="s">
        <v>14</v>
      </c>
      <c r="D256">
        <v>40</v>
      </c>
      <c r="E256" t="s">
        <v>37</v>
      </c>
      <c r="F256" t="s">
        <v>29</v>
      </c>
      <c r="G256">
        <v>25109</v>
      </c>
      <c r="H256" t="s">
        <v>17</v>
      </c>
      <c r="I256" s="1">
        <v>42673</v>
      </c>
      <c r="J256" t="s">
        <v>18</v>
      </c>
      <c r="K256" t="s">
        <v>44</v>
      </c>
      <c r="L256">
        <v>9</v>
      </c>
      <c r="M256" t="s">
        <v>1047</v>
      </c>
    </row>
    <row r="257" spans="1:13" x14ac:dyDescent="0.35">
      <c r="A257" t="s">
        <v>546</v>
      </c>
      <c r="B257" t="s">
        <v>547</v>
      </c>
      <c r="C257" t="s">
        <v>14</v>
      </c>
      <c r="D257">
        <v>42</v>
      </c>
      <c r="E257" t="s">
        <v>37</v>
      </c>
      <c r="F257" t="s">
        <v>52</v>
      </c>
      <c r="G257">
        <v>69268</v>
      </c>
      <c r="H257" t="s">
        <v>17</v>
      </c>
      <c r="I257" s="1">
        <v>44081</v>
      </c>
      <c r="J257" t="s">
        <v>18</v>
      </c>
      <c r="K257" t="s">
        <v>40</v>
      </c>
      <c r="L257">
        <v>5</v>
      </c>
      <c r="M257" t="s">
        <v>1045</v>
      </c>
    </row>
    <row r="258" spans="1:13" x14ac:dyDescent="0.35">
      <c r="A258" t="s">
        <v>548</v>
      </c>
      <c r="B258" t="s">
        <v>549</v>
      </c>
      <c r="C258" t="s">
        <v>14</v>
      </c>
      <c r="D258">
        <v>52</v>
      </c>
      <c r="E258" t="s">
        <v>43</v>
      </c>
      <c r="F258" t="s">
        <v>33</v>
      </c>
      <c r="G258">
        <v>74615</v>
      </c>
      <c r="H258" t="s">
        <v>17</v>
      </c>
      <c r="I258" s="1">
        <v>42953</v>
      </c>
      <c r="J258" t="s">
        <v>26</v>
      </c>
      <c r="K258" t="s">
        <v>40</v>
      </c>
      <c r="L258">
        <v>8</v>
      </c>
      <c r="M258" t="s">
        <v>1046</v>
      </c>
    </row>
    <row r="259" spans="1:13" x14ac:dyDescent="0.35">
      <c r="A259" t="s">
        <v>550</v>
      </c>
      <c r="B259" t="s">
        <v>551</v>
      </c>
      <c r="C259" t="s">
        <v>22</v>
      </c>
      <c r="D259">
        <v>58</v>
      </c>
      <c r="E259" t="s">
        <v>23</v>
      </c>
      <c r="F259" t="s">
        <v>16</v>
      </c>
      <c r="G259">
        <v>102503</v>
      </c>
      <c r="H259" t="s">
        <v>17</v>
      </c>
      <c r="I259" s="1">
        <v>45819</v>
      </c>
      <c r="J259" t="s">
        <v>26</v>
      </c>
      <c r="K259" t="s">
        <v>40</v>
      </c>
      <c r="L259">
        <v>0</v>
      </c>
      <c r="M259" t="s">
        <v>1044</v>
      </c>
    </row>
    <row r="260" spans="1:13" x14ac:dyDescent="0.35">
      <c r="A260" t="s">
        <v>552</v>
      </c>
      <c r="B260" t="s">
        <v>553</v>
      </c>
      <c r="C260" t="s">
        <v>22</v>
      </c>
      <c r="D260">
        <v>47</v>
      </c>
      <c r="E260" t="s">
        <v>43</v>
      </c>
      <c r="F260" t="s">
        <v>38</v>
      </c>
      <c r="G260">
        <v>180831</v>
      </c>
      <c r="H260" t="s">
        <v>17</v>
      </c>
      <c r="I260" s="1">
        <v>44115</v>
      </c>
      <c r="J260" t="s">
        <v>26</v>
      </c>
      <c r="K260" t="s">
        <v>19</v>
      </c>
      <c r="L260">
        <v>5</v>
      </c>
      <c r="M260" t="s">
        <v>1045</v>
      </c>
    </row>
    <row r="261" spans="1:13" x14ac:dyDescent="0.35">
      <c r="A261" t="s">
        <v>554</v>
      </c>
      <c r="B261" t="s">
        <v>555</v>
      </c>
      <c r="C261" t="s">
        <v>14</v>
      </c>
      <c r="D261">
        <v>34</v>
      </c>
      <c r="E261" t="s">
        <v>43</v>
      </c>
      <c r="F261" t="s">
        <v>29</v>
      </c>
      <c r="G261">
        <v>105708</v>
      </c>
      <c r="H261" t="s">
        <v>17</v>
      </c>
      <c r="I261" s="1">
        <v>44588</v>
      </c>
      <c r="J261" t="s">
        <v>18</v>
      </c>
      <c r="K261" t="s">
        <v>40</v>
      </c>
      <c r="L261">
        <v>3</v>
      </c>
      <c r="M261" t="s">
        <v>1045</v>
      </c>
    </row>
    <row r="262" spans="1:13" x14ac:dyDescent="0.35">
      <c r="A262" t="s">
        <v>556</v>
      </c>
      <c r="B262" t="s">
        <v>557</v>
      </c>
      <c r="C262" t="s">
        <v>14</v>
      </c>
      <c r="D262">
        <v>66</v>
      </c>
      <c r="E262" t="s">
        <v>43</v>
      </c>
      <c r="F262" t="s">
        <v>33</v>
      </c>
      <c r="G262">
        <v>122471</v>
      </c>
      <c r="H262" t="s">
        <v>30</v>
      </c>
      <c r="I262" s="1">
        <v>43744</v>
      </c>
      <c r="J262" t="s">
        <v>55</v>
      </c>
      <c r="K262" t="s">
        <v>34</v>
      </c>
      <c r="L262">
        <v>6</v>
      </c>
      <c r="M262" t="s">
        <v>1046</v>
      </c>
    </row>
    <row r="263" spans="1:13" x14ac:dyDescent="0.35">
      <c r="A263" t="s">
        <v>558</v>
      </c>
      <c r="B263" t="s">
        <v>559</v>
      </c>
      <c r="C263" t="s">
        <v>22</v>
      </c>
      <c r="D263">
        <v>37</v>
      </c>
      <c r="E263" t="s">
        <v>23</v>
      </c>
      <c r="F263" t="s">
        <v>29</v>
      </c>
      <c r="G263">
        <v>177661</v>
      </c>
      <c r="H263" t="s">
        <v>17</v>
      </c>
      <c r="I263" s="1">
        <v>45516</v>
      </c>
      <c r="J263" t="s">
        <v>18</v>
      </c>
      <c r="K263" t="s">
        <v>19</v>
      </c>
      <c r="L263">
        <v>1</v>
      </c>
      <c r="M263" t="s">
        <v>1044</v>
      </c>
    </row>
    <row r="264" spans="1:13" x14ac:dyDescent="0.35">
      <c r="A264" t="s">
        <v>560</v>
      </c>
      <c r="B264" t="s">
        <v>561</v>
      </c>
      <c r="C264" t="s">
        <v>14</v>
      </c>
      <c r="D264">
        <v>65</v>
      </c>
      <c r="E264" t="s">
        <v>37</v>
      </c>
      <c r="F264" t="s">
        <v>24</v>
      </c>
      <c r="G264">
        <v>181087</v>
      </c>
      <c r="H264" t="s">
        <v>30</v>
      </c>
      <c r="I264" s="1">
        <v>43829</v>
      </c>
      <c r="J264" t="s">
        <v>55</v>
      </c>
      <c r="K264" t="s">
        <v>19</v>
      </c>
      <c r="L264">
        <v>6</v>
      </c>
      <c r="M264" t="s">
        <v>1046</v>
      </c>
    </row>
    <row r="265" spans="1:13" x14ac:dyDescent="0.35">
      <c r="A265" t="s">
        <v>562</v>
      </c>
      <c r="B265" t="s">
        <v>563</v>
      </c>
      <c r="C265" t="s">
        <v>14</v>
      </c>
      <c r="D265">
        <v>42</v>
      </c>
      <c r="E265" t="s">
        <v>23</v>
      </c>
      <c r="F265" t="s">
        <v>47</v>
      </c>
      <c r="G265">
        <v>180081</v>
      </c>
      <c r="H265" t="s">
        <v>17</v>
      </c>
      <c r="I265" s="1">
        <v>42297</v>
      </c>
      <c r="J265" t="s">
        <v>18</v>
      </c>
      <c r="K265" t="s">
        <v>19</v>
      </c>
      <c r="L265">
        <v>10</v>
      </c>
      <c r="M265" t="s">
        <v>1047</v>
      </c>
    </row>
    <row r="266" spans="1:13" x14ac:dyDescent="0.35">
      <c r="A266" t="s">
        <v>564</v>
      </c>
      <c r="B266" t="s">
        <v>565</v>
      </c>
      <c r="C266" t="s">
        <v>14</v>
      </c>
      <c r="D266">
        <v>39</v>
      </c>
      <c r="E266" t="s">
        <v>15</v>
      </c>
      <c r="F266" t="s">
        <v>38</v>
      </c>
      <c r="G266">
        <v>103309</v>
      </c>
      <c r="H266" t="s">
        <v>17</v>
      </c>
      <c r="I266" s="1">
        <v>44102</v>
      </c>
      <c r="J266" t="s">
        <v>18</v>
      </c>
      <c r="K266" t="s">
        <v>40</v>
      </c>
      <c r="L266">
        <v>5</v>
      </c>
      <c r="M266" t="s">
        <v>1045</v>
      </c>
    </row>
    <row r="267" spans="1:13" x14ac:dyDescent="0.35">
      <c r="A267" t="s">
        <v>566</v>
      </c>
      <c r="B267" t="s">
        <v>567</v>
      </c>
      <c r="C267" t="s">
        <v>22</v>
      </c>
      <c r="D267">
        <v>30</v>
      </c>
      <c r="E267" t="s">
        <v>23</v>
      </c>
      <c r="F267" t="s">
        <v>29</v>
      </c>
      <c r="G267">
        <v>146446</v>
      </c>
      <c r="H267" t="s">
        <v>17</v>
      </c>
      <c r="I267" s="1">
        <v>42770</v>
      </c>
      <c r="J267" t="s">
        <v>18</v>
      </c>
      <c r="K267" t="s">
        <v>34</v>
      </c>
      <c r="L267">
        <v>8</v>
      </c>
      <c r="M267" t="s">
        <v>1046</v>
      </c>
    </row>
    <row r="268" spans="1:13" x14ac:dyDescent="0.35">
      <c r="A268" t="s">
        <v>568</v>
      </c>
      <c r="B268" t="s">
        <v>569</v>
      </c>
      <c r="C268" t="s">
        <v>22</v>
      </c>
      <c r="D268">
        <v>36</v>
      </c>
      <c r="E268" t="s">
        <v>23</v>
      </c>
      <c r="F268" t="s">
        <v>47</v>
      </c>
      <c r="G268">
        <v>126661</v>
      </c>
      <c r="H268" t="s">
        <v>17</v>
      </c>
      <c r="I268" s="1">
        <v>44437</v>
      </c>
      <c r="J268" t="s">
        <v>18</v>
      </c>
      <c r="K268" t="s">
        <v>34</v>
      </c>
      <c r="L268">
        <v>4</v>
      </c>
      <c r="M268" t="s">
        <v>1045</v>
      </c>
    </row>
    <row r="269" spans="1:13" x14ac:dyDescent="0.35">
      <c r="A269" t="s">
        <v>570</v>
      </c>
      <c r="B269" t="s">
        <v>571</v>
      </c>
      <c r="C269" t="s">
        <v>22</v>
      </c>
      <c r="D269">
        <v>66</v>
      </c>
      <c r="E269" t="s">
        <v>23</v>
      </c>
      <c r="F269" t="s">
        <v>33</v>
      </c>
      <c r="G269">
        <v>177215</v>
      </c>
      <c r="H269" t="s">
        <v>17</v>
      </c>
      <c r="I269" s="1">
        <v>43819</v>
      </c>
      <c r="J269" t="s">
        <v>55</v>
      </c>
      <c r="K269" t="s">
        <v>19</v>
      </c>
      <c r="L269">
        <v>6</v>
      </c>
      <c r="M269" t="s">
        <v>1046</v>
      </c>
    </row>
    <row r="270" spans="1:13" x14ac:dyDescent="0.35">
      <c r="A270" t="s">
        <v>572</v>
      </c>
      <c r="B270" t="s">
        <v>573</v>
      </c>
      <c r="C270" t="s">
        <v>14</v>
      </c>
      <c r="D270">
        <v>53</v>
      </c>
      <c r="E270" t="s">
        <v>23</v>
      </c>
      <c r="F270" t="s">
        <v>47</v>
      </c>
      <c r="G270">
        <v>26154</v>
      </c>
      <c r="H270" t="s">
        <v>25</v>
      </c>
      <c r="I270" s="1">
        <v>43150</v>
      </c>
      <c r="J270" t="s">
        <v>26</v>
      </c>
      <c r="K270" t="s">
        <v>44</v>
      </c>
      <c r="L270">
        <v>7</v>
      </c>
      <c r="M270" t="s">
        <v>1046</v>
      </c>
    </row>
    <row r="271" spans="1:13" x14ac:dyDescent="0.35">
      <c r="A271" t="s">
        <v>574</v>
      </c>
      <c r="B271" t="s">
        <v>575</v>
      </c>
      <c r="C271" t="s">
        <v>14</v>
      </c>
      <c r="D271">
        <v>29</v>
      </c>
      <c r="E271" t="s">
        <v>37</v>
      </c>
      <c r="F271" t="s">
        <v>38</v>
      </c>
      <c r="G271">
        <v>172876</v>
      </c>
      <c r="H271" t="s">
        <v>17</v>
      </c>
      <c r="I271" s="1">
        <v>42737</v>
      </c>
      <c r="J271" t="s">
        <v>18</v>
      </c>
      <c r="K271" t="s">
        <v>19</v>
      </c>
      <c r="L271">
        <v>8</v>
      </c>
      <c r="M271" t="s">
        <v>1046</v>
      </c>
    </row>
    <row r="272" spans="1:13" x14ac:dyDescent="0.35">
      <c r="A272" t="s">
        <v>576</v>
      </c>
      <c r="B272" t="s">
        <v>577</v>
      </c>
      <c r="C272" t="s">
        <v>22</v>
      </c>
      <c r="D272">
        <v>58</v>
      </c>
      <c r="E272" t="s">
        <v>15</v>
      </c>
      <c r="F272" t="s">
        <v>29</v>
      </c>
      <c r="G272">
        <v>192760</v>
      </c>
      <c r="H272" t="s">
        <v>25</v>
      </c>
      <c r="I272" s="1">
        <v>45051</v>
      </c>
      <c r="J272" t="s">
        <v>26</v>
      </c>
      <c r="K272" t="s">
        <v>19</v>
      </c>
      <c r="L272">
        <v>2</v>
      </c>
      <c r="M272" t="s">
        <v>1044</v>
      </c>
    </row>
    <row r="273" spans="1:13" x14ac:dyDescent="0.35">
      <c r="A273" t="s">
        <v>578</v>
      </c>
      <c r="B273" t="s">
        <v>579</v>
      </c>
      <c r="C273" t="s">
        <v>22</v>
      </c>
      <c r="D273">
        <v>36</v>
      </c>
      <c r="E273" t="s">
        <v>37</v>
      </c>
      <c r="F273" t="s">
        <v>24</v>
      </c>
      <c r="G273">
        <v>84288</v>
      </c>
      <c r="H273" t="s">
        <v>25</v>
      </c>
      <c r="I273" s="1">
        <v>43890</v>
      </c>
      <c r="J273" t="s">
        <v>18</v>
      </c>
      <c r="K273" t="s">
        <v>40</v>
      </c>
      <c r="L273">
        <v>5</v>
      </c>
      <c r="M273" t="s">
        <v>1045</v>
      </c>
    </row>
    <row r="274" spans="1:13" x14ac:dyDescent="0.35">
      <c r="A274" t="s">
        <v>580</v>
      </c>
      <c r="B274" t="s">
        <v>581</v>
      </c>
      <c r="C274" t="s">
        <v>22</v>
      </c>
      <c r="D274">
        <v>29</v>
      </c>
      <c r="E274" t="s">
        <v>37</v>
      </c>
      <c r="F274" t="s">
        <v>52</v>
      </c>
      <c r="G274">
        <v>71195</v>
      </c>
      <c r="H274" t="s">
        <v>17</v>
      </c>
      <c r="I274" s="1">
        <v>44008</v>
      </c>
      <c r="J274" t="s">
        <v>18</v>
      </c>
      <c r="K274" t="s">
        <v>40</v>
      </c>
      <c r="L274">
        <v>5</v>
      </c>
      <c r="M274" t="s">
        <v>1045</v>
      </c>
    </row>
    <row r="275" spans="1:13" x14ac:dyDescent="0.35">
      <c r="A275" t="s">
        <v>582</v>
      </c>
      <c r="B275" t="s">
        <v>583</v>
      </c>
      <c r="C275" t="s">
        <v>22</v>
      </c>
      <c r="D275">
        <v>26</v>
      </c>
      <c r="E275" t="s">
        <v>23</v>
      </c>
      <c r="F275" t="s">
        <v>33</v>
      </c>
      <c r="G275">
        <v>40581</v>
      </c>
      <c r="H275" t="s">
        <v>17</v>
      </c>
      <c r="I275" s="1">
        <v>45559</v>
      </c>
      <c r="J275" t="s">
        <v>39</v>
      </c>
      <c r="K275" t="s">
        <v>44</v>
      </c>
      <c r="L275">
        <v>1</v>
      </c>
      <c r="M275" t="s">
        <v>1044</v>
      </c>
    </row>
    <row r="276" spans="1:13" x14ac:dyDescent="0.35">
      <c r="A276" t="s">
        <v>584</v>
      </c>
      <c r="B276" t="s">
        <v>585</v>
      </c>
      <c r="C276" t="s">
        <v>14</v>
      </c>
      <c r="D276">
        <v>24</v>
      </c>
      <c r="E276" t="s">
        <v>43</v>
      </c>
      <c r="F276" t="s">
        <v>29</v>
      </c>
      <c r="G276">
        <v>50087</v>
      </c>
      <c r="H276" t="s">
        <v>25</v>
      </c>
      <c r="I276" s="1">
        <v>43775</v>
      </c>
      <c r="J276" t="s">
        <v>39</v>
      </c>
      <c r="K276" t="s">
        <v>44</v>
      </c>
      <c r="L276">
        <v>6</v>
      </c>
      <c r="M276" t="s">
        <v>1046</v>
      </c>
    </row>
    <row r="277" spans="1:13" x14ac:dyDescent="0.35">
      <c r="A277" t="s">
        <v>586</v>
      </c>
      <c r="B277" t="s">
        <v>587</v>
      </c>
      <c r="C277" t="s">
        <v>22</v>
      </c>
      <c r="D277">
        <v>45</v>
      </c>
      <c r="E277" t="s">
        <v>43</v>
      </c>
      <c r="F277" t="s">
        <v>38</v>
      </c>
      <c r="G277">
        <v>184053</v>
      </c>
      <c r="H277" t="s">
        <v>17</v>
      </c>
      <c r="I277" s="1">
        <v>44122</v>
      </c>
      <c r="J277" t="s">
        <v>26</v>
      </c>
      <c r="K277" t="s">
        <v>19</v>
      </c>
      <c r="L277">
        <v>5</v>
      </c>
      <c r="M277" t="s">
        <v>1045</v>
      </c>
    </row>
    <row r="278" spans="1:13" x14ac:dyDescent="0.35">
      <c r="A278" t="s">
        <v>588</v>
      </c>
      <c r="B278" t="s">
        <v>589</v>
      </c>
      <c r="C278" t="s">
        <v>14</v>
      </c>
      <c r="D278">
        <v>31</v>
      </c>
      <c r="E278" t="s">
        <v>37</v>
      </c>
      <c r="F278" t="s">
        <v>33</v>
      </c>
      <c r="G278">
        <v>89298</v>
      </c>
      <c r="H278" t="s">
        <v>17</v>
      </c>
      <c r="I278" s="1">
        <v>43083</v>
      </c>
      <c r="J278" t="s">
        <v>18</v>
      </c>
      <c r="K278" t="s">
        <v>40</v>
      </c>
      <c r="L278">
        <v>8</v>
      </c>
      <c r="M278" t="s">
        <v>1046</v>
      </c>
    </row>
    <row r="279" spans="1:13" x14ac:dyDescent="0.35">
      <c r="A279" t="s">
        <v>590</v>
      </c>
      <c r="B279" t="s">
        <v>591</v>
      </c>
      <c r="C279" t="s">
        <v>22</v>
      </c>
      <c r="D279">
        <v>48</v>
      </c>
      <c r="E279" t="s">
        <v>37</v>
      </c>
      <c r="F279" t="s">
        <v>16</v>
      </c>
      <c r="G279">
        <v>66167</v>
      </c>
      <c r="H279" t="s">
        <v>30</v>
      </c>
      <c r="I279" s="1">
        <v>43497</v>
      </c>
      <c r="J279" t="s">
        <v>26</v>
      </c>
      <c r="K279" t="s">
        <v>40</v>
      </c>
      <c r="L279">
        <v>6</v>
      </c>
      <c r="M279" t="s">
        <v>1046</v>
      </c>
    </row>
    <row r="280" spans="1:13" x14ac:dyDescent="0.35">
      <c r="A280" t="s">
        <v>592</v>
      </c>
      <c r="B280" t="s">
        <v>593</v>
      </c>
      <c r="C280" t="s">
        <v>14</v>
      </c>
      <c r="D280">
        <v>69</v>
      </c>
      <c r="E280" t="s">
        <v>23</v>
      </c>
      <c r="F280" t="s">
        <v>47</v>
      </c>
      <c r="G280">
        <v>194480</v>
      </c>
      <c r="H280" t="s">
        <v>17</v>
      </c>
      <c r="I280" s="1">
        <v>43316</v>
      </c>
      <c r="J280" t="s">
        <v>55</v>
      </c>
      <c r="K280" t="s">
        <v>19</v>
      </c>
      <c r="L280">
        <v>7</v>
      </c>
      <c r="M280" t="s">
        <v>1046</v>
      </c>
    </row>
    <row r="281" spans="1:13" x14ac:dyDescent="0.35">
      <c r="A281" t="s">
        <v>594</v>
      </c>
      <c r="B281" t="s">
        <v>595</v>
      </c>
      <c r="C281" t="s">
        <v>22</v>
      </c>
      <c r="D281">
        <v>36</v>
      </c>
      <c r="E281" t="s">
        <v>37</v>
      </c>
      <c r="F281" t="s">
        <v>52</v>
      </c>
      <c r="G281">
        <v>59499</v>
      </c>
      <c r="H281" t="s">
        <v>25</v>
      </c>
      <c r="I281" s="1">
        <v>42882</v>
      </c>
      <c r="J281" t="s">
        <v>18</v>
      </c>
      <c r="K281" t="s">
        <v>44</v>
      </c>
      <c r="L281">
        <v>8</v>
      </c>
      <c r="M281" t="s">
        <v>1046</v>
      </c>
    </row>
    <row r="282" spans="1:13" x14ac:dyDescent="0.35">
      <c r="A282" t="s">
        <v>596</v>
      </c>
      <c r="B282" t="s">
        <v>597</v>
      </c>
      <c r="C282" t="s">
        <v>22</v>
      </c>
      <c r="D282">
        <v>64</v>
      </c>
      <c r="E282" t="s">
        <v>23</v>
      </c>
      <c r="F282" t="s">
        <v>38</v>
      </c>
      <c r="G282">
        <v>145816</v>
      </c>
      <c r="H282" t="s">
        <v>30</v>
      </c>
      <c r="I282" s="1">
        <v>44500</v>
      </c>
      <c r="J282" t="s">
        <v>55</v>
      </c>
      <c r="K282" t="s">
        <v>34</v>
      </c>
      <c r="L282">
        <v>4</v>
      </c>
      <c r="M282" t="s">
        <v>1045</v>
      </c>
    </row>
    <row r="283" spans="1:13" x14ac:dyDescent="0.35">
      <c r="A283" t="s">
        <v>598</v>
      </c>
      <c r="B283" t="s">
        <v>599</v>
      </c>
      <c r="C283" t="s">
        <v>22</v>
      </c>
      <c r="D283">
        <v>33</v>
      </c>
      <c r="E283" t="s">
        <v>43</v>
      </c>
      <c r="F283" t="s">
        <v>16</v>
      </c>
      <c r="G283">
        <v>189631</v>
      </c>
      <c r="H283" t="s">
        <v>17</v>
      </c>
      <c r="I283" s="1">
        <v>42880</v>
      </c>
      <c r="J283" t="s">
        <v>18</v>
      </c>
      <c r="K283" t="s">
        <v>19</v>
      </c>
      <c r="L283">
        <v>8</v>
      </c>
      <c r="M283" t="s">
        <v>1046</v>
      </c>
    </row>
    <row r="284" spans="1:13" x14ac:dyDescent="0.35">
      <c r="A284" t="s">
        <v>600</v>
      </c>
      <c r="B284" t="s">
        <v>601</v>
      </c>
      <c r="C284" t="s">
        <v>22</v>
      </c>
      <c r="D284">
        <v>70</v>
      </c>
      <c r="E284" t="s">
        <v>43</v>
      </c>
      <c r="F284" t="s">
        <v>29</v>
      </c>
      <c r="G284">
        <v>116347</v>
      </c>
      <c r="H284" t="s">
        <v>17</v>
      </c>
      <c r="I284" s="1">
        <v>42754</v>
      </c>
      <c r="J284" t="s">
        <v>55</v>
      </c>
      <c r="K284" t="s">
        <v>34</v>
      </c>
      <c r="L284">
        <v>8</v>
      </c>
      <c r="M284" t="s">
        <v>1046</v>
      </c>
    </row>
    <row r="285" spans="1:13" x14ac:dyDescent="0.35">
      <c r="A285" t="s">
        <v>602</v>
      </c>
      <c r="B285" t="s">
        <v>603</v>
      </c>
      <c r="C285" t="s">
        <v>14</v>
      </c>
      <c r="D285">
        <v>22</v>
      </c>
      <c r="E285" t="s">
        <v>15</v>
      </c>
      <c r="F285" t="s">
        <v>24</v>
      </c>
      <c r="G285">
        <v>68787</v>
      </c>
      <c r="H285" t="s">
        <v>17</v>
      </c>
      <c r="I285" s="1">
        <v>42305</v>
      </c>
      <c r="J285" t="s">
        <v>39</v>
      </c>
      <c r="K285" t="s">
        <v>40</v>
      </c>
      <c r="L285">
        <v>10</v>
      </c>
      <c r="M285" t="s">
        <v>1047</v>
      </c>
    </row>
    <row r="286" spans="1:13" x14ac:dyDescent="0.35">
      <c r="A286" t="s">
        <v>604</v>
      </c>
      <c r="B286" t="s">
        <v>605</v>
      </c>
      <c r="C286" t="s">
        <v>22</v>
      </c>
      <c r="D286">
        <v>52</v>
      </c>
      <c r="E286" t="s">
        <v>43</v>
      </c>
      <c r="F286" t="s">
        <v>33</v>
      </c>
      <c r="G286">
        <v>55488</v>
      </c>
      <c r="H286" t="s">
        <v>17</v>
      </c>
      <c r="I286" s="1">
        <v>44249</v>
      </c>
      <c r="J286" t="s">
        <v>26</v>
      </c>
      <c r="K286" t="s">
        <v>44</v>
      </c>
      <c r="L286">
        <v>4</v>
      </c>
      <c r="M286" t="s">
        <v>1045</v>
      </c>
    </row>
    <row r="287" spans="1:13" x14ac:dyDescent="0.35">
      <c r="A287" t="s">
        <v>606</v>
      </c>
      <c r="B287" t="s">
        <v>607</v>
      </c>
      <c r="C287" t="s">
        <v>14</v>
      </c>
      <c r="D287">
        <v>29</v>
      </c>
      <c r="E287" t="s">
        <v>37</v>
      </c>
      <c r="F287" t="s">
        <v>47</v>
      </c>
      <c r="G287">
        <v>94441</v>
      </c>
      <c r="H287" t="s">
        <v>17</v>
      </c>
      <c r="I287" s="1">
        <v>43856</v>
      </c>
      <c r="J287" t="s">
        <v>18</v>
      </c>
      <c r="K287" t="s">
        <v>40</v>
      </c>
      <c r="L287">
        <v>5</v>
      </c>
      <c r="M287" t="s">
        <v>1045</v>
      </c>
    </row>
    <row r="288" spans="1:13" x14ac:dyDescent="0.35">
      <c r="A288" t="s">
        <v>608</v>
      </c>
      <c r="B288" t="s">
        <v>609</v>
      </c>
      <c r="C288" t="s">
        <v>14</v>
      </c>
      <c r="D288">
        <v>42</v>
      </c>
      <c r="E288" t="s">
        <v>43</v>
      </c>
      <c r="F288" t="s">
        <v>33</v>
      </c>
      <c r="G288">
        <v>42431</v>
      </c>
      <c r="H288" t="s">
        <v>25</v>
      </c>
      <c r="I288" s="1">
        <v>45769</v>
      </c>
      <c r="J288" t="s">
        <v>18</v>
      </c>
      <c r="K288" t="s">
        <v>44</v>
      </c>
      <c r="L288">
        <v>0</v>
      </c>
      <c r="M288" t="s">
        <v>1044</v>
      </c>
    </row>
    <row r="289" spans="1:13" x14ac:dyDescent="0.35">
      <c r="A289" t="s">
        <v>610</v>
      </c>
      <c r="B289" t="s">
        <v>611</v>
      </c>
      <c r="C289" t="s">
        <v>14</v>
      </c>
      <c r="D289">
        <v>69</v>
      </c>
      <c r="E289" t="s">
        <v>23</v>
      </c>
      <c r="F289" t="s">
        <v>52</v>
      </c>
      <c r="G289">
        <v>81681</v>
      </c>
      <c r="H289" t="s">
        <v>17</v>
      </c>
      <c r="I289" s="1">
        <v>44856</v>
      </c>
      <c r="J289" t="s">
        <v>55</v>
      </c>
      <c r="K289" t="s">
        <v>40</v>
      </c>
      <c r="L289">
        <v>3</v>
      </c>
      <c r="M289" t="s">
        <v>1045</v>
      </c>
    </row>
    <row r="290" spans="1:13" x14ac:dyDescent="0.35">
      <c r="A290" t="s">
        <v>612</v>
      </c>
      <c r="B290" t="s">
        <v>613</v>
      </c>
      <c r="C290" t="s">
        <v>14</v>
      </c>
      <c r="D290">
        <v>38</v>
      </c>
      <c r="E290" t="s">
        <v>43</v>
      </c>
      <c r="F290" t="s">
        <v>29</v>
      </c>
      <c r="G290">
        <v>142720</v>
      </c>
      <c r="H290" t="s">
        <v>17</v>
      </c>
      <c r="I290" s="1">
        <v>44265</v>
      </c>
      <c r="J290" t="s">
        <v>18</v>
      </c>
      <c r="K290" t="s">
        <v>34</v>
      </c>
      <c r="L290">
        <v>4</v>
      </c>
      <c r="M290" t="s">
        <v>1045</v>
      </c>
    </row>
    <row r="291" spans="1:13" x14ac:dyDescent="0.35">
      <c r="A291" t="s">
        <v>614</v>
      </c>
      <c r="B291" t="s">
        <v>615</v>
      </c>
      <c r="C291" t="s">
        <v>22</v>
      </c>
      <c r="D291">
        <v>53</v>
      </c>
      <c r="E291" t="s">
        <v>15</v>
      </c>
      <c r="F291" t="s">
        <v>33</v>
      </c>
      <c r="G291">
        <v>69153</v>
      </c>
      <c r="H291" t="s">
        <v>30</v>
      </c>
      <c r="I291" s="1">
        <v>42617</v>
      </c>
      <c r="J291" t="s">
        <v>26</v>
      </c>
      <c r="K291" t="s">
        <v>40</v>
      </c>
      <c r="L291">
        <v>9</v>
      </c>
      <c r="M291" t="s">
        <v>1047</v>
      </c>
    </row>
    <row r="292" spans="1:13" x14ac:dyDescent="0.35">
      <c r="A292" t="s">
        <v>616</v>
      </c>
      <c r="B292" t="s">
        <v>617</v>
      </c>
      <c r="C292" t="s">
        <v>14</v>
      </c>
      <c r="D292">
        <v>70</v>
      </c>
      <c r="E292" t="s">
        <v>43</v>
      </c>
      <c r="F292" t="s">
        <v>47</v>
      </c>
      <c r="G292">
        <v>26368</v>
      </c>
      <c r="H292" t="s">
        <v>25</v>
      </c>
      <c r="I292" s="1">
        <v>43499</v>
      </c>
      <c r="J292" t="s">
        <v>55</v>
      </c>
      <c r="K292" t="s">
        <v>44</v>
      </c>
      <c r="L292">
        <v>6</v>
      </c>
      <c r="M292" t="s">
        <v>1046</v>
      </c>
    </row>
    <row r="293" spans="1:13" x14ac:dyDescent="0.35">
      <c r="A293" t="s">
        <v>618</v>
      </c>
      <c r="B293" t="s">
        <v>619</v>
      </c>
      <c r="C293" t="s">
        <v>14</v>
      </c>
      <c r="D293">
        <v>40</v>
      </c>
      <c r="E293" t="s">
        <v>23</v>
      </c>
      <c r="F293" t="s">
        <v>29</v>
      </c>
      <c r="G293">
        <v>178496</v>
      </c>
      <c r="H293" t="s">
        <v>25</v>
      </c>
      <c r="I293" s="1">
        <v>44893</v>
      </c>
      <c r="J293" t="s">
        <v>18</v>
      </c>
      <c r="K293" t="s">
        <v>19</v>
      </c>
      <c r="L293">
        <v>3</v>
      </c>
      <c r="M293" t="s">
        <v>1045</v>
      </c>
    </row>
    <row r="294" spans="1:13" x14ac:dyDescent="0.35">
      <c r="A294" t="s">
        <v>620</v>
      </c>
      <c r="B294" t="s">
        <v>621</v>
      </c>
      <c r="C294" t="s">
        <v>14</v>
      </c>
      <c r="D294">
        <v>33</v>
      </c>
      <c r="E294" t="s">
        <v>23</v>
      </c>
      <c r="F294" t="s">
        <v>33</v>
      </c>
      <c r="G294">
        <v>132360</v>
      </c>
      <c r="H294" t="s">
        <v>17</v>
      </c>
      <c r="I294" s="1">
        <v>42674</v>
      </c>
      <c r="J294" t="s">
        <v>18</v>
      </c>
      <c r="K294" t="s">
        <v>34</v>
      </c>
      <c r="L294">
        <v>9</v>
      </c>
      <c r="M294" t="s">
        <v>1047</v>
      </c>
    </row>
    <row r="295" spans="1:13" x14ac:dyDescent="0.35">
      <c r="A295" t="s">
        <v>622</v>
      </c>
      <c r="B295" t="s">
        <v>623</v>
      </c>
      <c r="C295" t="s">
        <v>22</v>
      </c>
      <c r="D295">
        <v>74</v>
      </c>
      <c r="E295" t="s">
        <v>37</v>
      </c>
      <c r="F295" t="s">
        <v>24</v>
      </c>
      <c r="G295">
        <v>196076</v>
      </c>
      <c r="H295" t="s">
        <v>25</v>
      </c>
      <c r="I295" s="1">
        <v>43335</v>
      </c>
      <c r="J295" t="s">
        <v>55</v>
      </c>
      <c r="K295" t="s">
        <v>19</v>
      </c>
      <c r="L295">
        <v>7</v>
      </c>
      <c r="M295" t="s">
        <v>1046</v>
      </c>
    </row>
    <row r="296" spans="1:13" x14ac:dyDescent="0.35">
      <c r="A296" t="s">
        <v>624</v>
      </c>
      <c r="B296" t="s">
        <v>625</v>
      </c>
      <c r="C296" t="s">
        <v>22</v>
      </c>
      <c r="D296">
        <v>56</v>
      </c>
      <c r="E296" t="s">
        <v>43</v>
      </c>
      <c r="F296" t="s">
        <v>38</v>
      </c>
      <c r="G296">
        <v>132755</v>
      </c>
      <c r="H296" t="s">
        <v>17</v>
      </c>
      <c r="I296" s="1">
        <v>42510</v>
      </c>
      <c r="J296" t="s">
        <v>26</v>
      </c>
      <c r="K296" t="s">
        <v>34</v>
      </c>
      <c r="L296">
        <v>9</v>
      </c>
      <c r="M296" t="s">
        <v>1047</v>
      </c>
    </row>
    <row r="297" spans="1:13" x14ac:dyDescent="0.35">
      <c r="A297" t="s">
        <v>626</v>
      </c>
      <c r="B297" t="s">
        <v>627</v>
      </c>
      <c r="C297" t="s">
        <v>22</v>
      </c>
      <c r="D297">
        <v>62</v>
      </c>
      <c r="E297" t="s">
        <v>23</v>
      </c>
      <c r="F297" t="s">
        <v>29</v>
      </c>
      <c r="G297">
        <v>76985</v>
      </c>
      <c r="H297" t="s">
        <v>17</v>
      </c>
      <c r="I297" s="1">
        <v>44646</v>
      </c>
      <c r="J297" t="s">
        <v>55</v>
      </c>
      <c r="K297" t="s">
        <v>40</v>
      </c>
      <c r="L297">
        <v>3</v>
      </c>
      <c r="M297" t="s">
        <v>1045</v>
      </c>
    </row>
    <row r="298" spans="1:13" x14ac:dyDescent="0.35">
      <c r="A298" t="s">
        <v>628</v>
      </c>
      <c r="B298" t="s">
        <v>629</v>
      </c>
      <c r="C298" t="s">
        <v>22</v>
      </c>
      <c r="D298">
        <v>70</v>
      </c>
      <c r="E298" t="s">
        <v>15</v>
      </c>
      <c r="F298" t="s">
        <v>38</v>
      </c>
      <c r="G298">
        <v>70069</v>
      </c>
      <c r="H298" t="s">
        <v>17</v>
      </c>
      <c r="I298" s="1">
        <v>44862</v>
      </c>
      <c r="J298" t="s">
        <v>55</v>
      </c>
      <c r="K298" t="s">
        <v>40</v>
      </c>
      <c r="L298">
        <v>3</v>
      </c>
      <c r="M298" t="s">
        <v>1045</v>
      </c>
    </row>
    <row r="299" spans="1:13" x14ac:dyDescent="0.35">
      <c r="A299" t="s">
        <v>630</v>
      </c>
      <c r="B299" t="s">
        <v>631</v>
      </c>
      <c r="C299" t="s">
        <v>14</v>
      </c>
      <c r="D299">
        <v>59</v>
      </c>
      <c r="E299" t="s">
        <v>37</v>
      </c>
      <c r="F299" t="s">
        <v>29</v>
      </c>
      <c r="G299">
        <v>72326</v>
      </c>
      <c r="H299" t="s">
        <v>25</v>
      </c>
      <c r="I299" s="1">
        <v>42922</v>
      </c>
      <c r="J299" t="s">
        <v>26</v>
      </c>
      <c r="K299" t="s">
        <v>40</v>
      </c>
      <c r="L299">
        <v>8</v>
      </c>
      <c r="M299" t="s">
        <v>1046</v>
      </c>
    </row>
    <row r="300" spans="1:13" x14ac:dyDescent="0.35">
      <c r="A300" t="s">
        <v>632</v>
      </c>
      <c r="B300" t="s">
        <v>633</v>
      </c>
      <c r="C300" t="s">
        <v>14</v>
      </c>
      <c r="D300">
        <v>56</v>
      </c>
      <c r="E300" t="s">
        <v>15</v>
      </c>
      <c r="F300" t="s">
        <v>24</v>
      </c>
      <c r="G300">
        <v>128737</v>
      </c>
      <c r="H300" t="s">
        <v>17</v>
      </c>
      <c r="I300" s="1">
        <v>45200</v>
      </c>
      <c r="J300" t="s">
        <v>26</v>
      </c>
      <c r="K300" t="s">
        <v>34</v>
      </c>
      <c r="L300">
        <v>2</v>
      </c>
      <c r="M300" t="s">
        <v>1044</v>
      </c>
    </row>
    <row r="301" spans="1:13" x14ac:dyDescent="0.35">
      <c r="A301" t="s">
        <v>634</v>
      </c>
      <c r="B301" t="s">
        <v>635</v>
      </c>
      <c r="C301" t="s">
        <v>22</v>
      </c>
      <c r="D301">
        <v>31</v>
      </c>
      <c r="E301" t="s">
        <v>43</v>
      </c>
      <c r="F301" t="s">
        <v>38</v>
      </c>
      <c r="G301">
        <v>174470</v>
      </c>
      <c r="H301" t="s">
        <v>17</v>
      </c>
      <c r="I301" s="1">
        <v>45402</v>
      </c>
      <c r="J301" t="s">
        <v>18</v>
      </c>
      <c r="K301" t="s">
        <v>19</v>
      </c>
      <c r="L301">
        <v>1</v>
      </c>
      <c r="M301" t="s">
        <v>1044</v>
      </c>
    </row>
    <row r="302" spans="1:13" x14ac:dyDescent="0.35">
      <c r="A302" t="s">
        <v>636</v>
      </c>
      <c r="B302" t="s">
        <v>637</v>
      </c>
      <c r="C302" t="s">
        <v>14</v>
      </c>
      <c r="D302">
        <v>48</v>
      </c>
      <c r="E302" t="s">
        <v>43</v>
      </c>
      <c r="F302" t="s">
        <v>16</v>
      </c>
      <c r="G302">
        <v>70861</v>
      </c>
      <c r="H302" t="s">
        <v>17</v>
      </c>
      <c r="I302" s="1">
        <v>45334</v>
      </c>
      <c r="J302" t="s">
        <v>26</v>
      </c>
      <c r="K302" t="s">
        <v>40</v>
      </c>
      <c r="L302">
        <v>1</v>
      </c>
      <c r="M302" t="s">
        <v>1044</v>
      </c>
    </row>
    <row r="303" spans="1:13" x14ac:dyDescent="0.35">
      <c r="A303" t="s">
        <v>638</v>
      </c>
      <c r="B303" t="s">
        <v>639</v>
      </c>
      <c r="C303" t="s">
        <v>14</v>
      </c>
      <c r="D303">
        <v>22</v>
      </c>
      <c r="E303" t="s">
        <v>43</v>
      </c>
      <c r="F303" t="s">
        <v>47</v>
      </c>
      <c r="G303">
        <v>95897</v>
      </c>
      <c r="H303" t="s">
        <v>17</v>
      </c>
      <c r="I303" s="1">
        <v>44473</v>
      </c>
      <c r="J303" t="s">
        <v>39</v>
      </c>
      <c r="K303" t="s">
        <v>40</v>
      </c>
      <c r="L303">
        <v>4</v>
      </c>
      <c r="M303" t="s">
        <v>1045</v>
      </c>
    </row>
    <row r="304" spans="1:13" x14ac:dyDescent="0.35">
      <c r="A304" t="s">
        <v>640</v>
      </c>
      <c r="B304" t="s">
        <v>641</v>
      </c>
      <c r="C304" t="s">
        <v>14</v>
      </c>
      <c r="D304">
        <v>52</v>
      </c>
      <c r="E304" t="s">
        <v>37</v>
      </c>
      <c r="F304" t="s">
        <v>16</v>
      </c>
      <c r="G304">
        <v>147118</v>
      </c>
      <c r="H304" t="s">
        <v>25</v>
      </c>
      <c r="I304" s="1">
        <v>44957</v>
      </c>
      <c r="J304" t="s">
        <v>26</v>
      </c>
      <c r="K304" t="s">
        <v>34</v>
      </c>
      <c r="L304">
        <v>2</v>
      </c>
      <c r="M304" t="s">
        <v>1044</v>
      </c>
    </row>
    <row r="305" spans="1:13" x14ac:dyDescent="0.35">
      <c r="A305" t="s">
        <v>642</v>
      </c>
      <c r="B305" t="s">
        <v>643</v>
      </c>
      <c r="C305" t="s">
        <v>22</v>
      </c>
      <c r="D305">
        <v>40</v>
      </c>
      <c r="E305" t="s">
        <v>23</v>
      </c>
      <c r="F305" t="s">
        <v>33</v>
      </c>
      <c r="G305">
        <v>88577</v>
      </c>
      <c r="H305" t="s">
        <v>25</v>
      </c>
      <c r="I305" s="1">
        <v>43251</v>
      </c>
      <c r="J305" t="s">
        <v>18</v>
      </c>
      <c r="K305" t="s">
        <v>40</v>
      </c>
      <c r="L305">
        <v>7</v>
      </c>
      <c r="M305" t="s">
        <v>1046</v>
      </c>
    </row>
    <row r="306" spans="1:13" x14ac:dyDescent="0.35">
      <c r="A306" t="s">
        <v>644</v>
      </c>
      <c r="B306" t="s">
        <v>645</v>
      </c>
      <c r="C306" t="s">
        <v>22</v>
      </c>
      <c r="D306">
        <v>46</v>
      </c>
      <c r="E306" t="s">
        <v>37</v>
      </c>
      <c r="F306" t="s">
        <v>24</v>
      </c>
      <c r="G306">
        <v>29078</v>
      </c>
      <c r="H306" t="s">
        <v>25</v>
      </c>
      <c r="I306" s="1">
        <v>43041</v>
      </c>
      <c r="J306" t="s">
        <v>26</v>
      </c>
      <c r="K306" t="s">
        <v>44</v>
      </c>
      <c r="L306">
        <v>8</v>
      </c>
      <c r="M306" t="s">
        <v>1046</v>
      </c>
    </row>
    <row r="307" spans="1:13" x14ac:dyDescent="0.35">
      <c r="A307" t="s">
        <v>646</v>
      </c>
      <c r="B307" t="s">
        <v>647</v>
      </c>
      <c r="C307" t="s">
        <v>14</v>
      </c>
      <c r="D307">
        <v>60</v>
      </c>
      <c r="E307" t="s">
        <v>15</v>
      </c>
      <c r="F307" t="s">
        <v>16</v>
      </c>
      <c r="G307">
        <v>176075</v>
      </c>
      <c r="H307" t="s">
        <v>17</v>
      </c>
      <c r="I307" s="1">
        <v>43261</v>
      </c>
      <c r="J307" t="s">
        <v>26</v>
      </c>
      <c r="K307" t="s">
        <v>19</v>
      </c>
      <c r="L307">
        <v>7</v>
      </c>
      <c r="M307" t="s">
        <v>1046</v>
      </c>
    </row>
    <row r="308" spans="1:13" x14ac:dyDescent="0.35">
      <c r="A308" t="s">
        <v>648</v>
      </c>
      <c r="B308" t="s">
        <v>649</v>
      </c>
      <c r="C308" t="s">
        <v>22</v>
      </c>
      <c r="D308">
        <v>28</v>
      </c>
      <c r="E308" t="s">
        <v>37</v>
      </c>
      <c r="F308" t="s">
        <v>29</v>
      </c>
      <c r="G308">
        <v>82768</v>
      </c>
      <c r="H308" t="s">
        <v>17</v>
      </c>
      <c r="I308" s="1">
        <v>42293</v>
      </c>
      <c r="J308" t="s">
        <v>39</v>
      </c>
      <c r="K308" t="s">
        <v>40</v>
      </c>
      <c r="L308">
        <v>10</v>
      </c>
      <c r="M308" t="s">
        <v>1047</v>
      </c>
    </row>
    <row r="309" spans="1:13" x14ac:dyDescent="0.35">
      <c r="A309" t="s">
        <v>650</v>
      </c>
      <c r="B309" t="s">
        <v>651</v>
      </c>
      <c r="C309" t="s">
        <v>22</v>
      </c>
      <c r="D309">
        <v>35</v>
      </c>
      <c r="E309" t="s">
        <v>15</v>
      </c>
      <c r="F309" t="s">
        <v>33</v>
      </c>
      <c r="G309">
        <v>71047</v>
      </c>
      <c r="H309" t="s">
        <v>17</v>
      </c>
      <c r="I309" s="1">
        <v>42239</v>
      </c>
      <c r="J309" t="s">
        <v>18</v>
      </c>
      <c r="K309" t="s">
        <v>40</v>
      </c>
      <c r="L309">
        <v>10</v>
      </c>
      <c r="M309" t="s">
        <v>1047</v>
      </c>
    </row>
    <row r="310" spans="1:13" x14ac:dyDescent="0.35">
      <c r="A310" t="s">
        <v>652</v>
      </c>
      <c r="B310" t="s">
        <v>653</v>
      </c>
      <c r="C310" t="s">
        <v>22</v>
      </c>
      <c r="D310">
        <v>64</v>
      </c>
      <c r="E310" t="s">
        <v>37</v>
      </c>
      <c r="F310" t="s">
        <v>33</v>
      </c>
      <c r="G310">
        <v>91626</v>
      </c>
      <c r="H310" t="s">
        <v>17</v>
      </c>
      <c r="I310" s="1">
        <v>42506</v>
      </c>
      <c r="J310" t="s">
        <v>55</v>
      </c>
      <c r="K310" t="s">
        <v>40</v>
      </c>
      <c r="L310">
        <v>9</v>
      </c>
      <c r="M310" t="s">
        <v>1047</v>
      </c>
    </row>
    <row r="311" spans="1:13" x14ac:dyDescent="0.35">
      <c r="A311" t="s">
        <v>654</v>
      </c>
      <c r="B311" t="s">
        <v>655</v>
      </c>
      <c r="C311" t="s">
        <v>22</v>
      </c>
      <c r="D311">
        <v>29</v>
      </c>
      <c r="E311" t="s">
        <v>23</v>
      </c>
      <c r="F311" t="s">
        <v>16</v>
      </c>
      <c r="G311">
        <v>77660</v>
      </c>
      <c r="H311" t="s">
        <v>17</v>
      </c>
      <c r="I311" s="1">
        <v>42720</v>
      </c>
      <c r="J311" t="s">
        <v>18</v>
      </c>
      <c r="K311" t="s">
        <v>40</v>
      </c>
      <c r="L311">
        <v>9</v>
      </c>
      <c r="M311" t="s">
        <v>1047</v>
      </c>
    </row>
    <row r="312" spans="1:13" x14ac:dyDescent="0.35">
      <c r="A312" t="s">
        <v>656</v>
      </c>
      <c r="B312" t="s">
        <v>657</v>
      </c>
      <c r="C312" t="s">
        <v>22</v>
      </c>
      <c r="D312">
        <v>26</v>
      </c>
      <c r="E312" t="s">
        <v>15</v>
      </c>
      <c r="F312" t="s">
        <v>16</v>
      </c>
      <c r="G312">
        <v>152997</v>
      </c>
      <c r="H312" t="s">
        <v>25</v>
      </c>
      <c r="I312" s="1">
        <v>42861</v>
      </c>
      <c r="J312" t="s">
        <v>39</v>
      </c>
      <c r="K312" t="s">
        <v>34</v>
      </c>
      <c r="L312">
        <v>8</v>
      </c>
      <c r="M312" t="s">
        <v>1046</v>
      </c>
    </row>
    <row r="313" spans="1:13" x14ac:dyDescent="0.35">
      <c r="A313" t="s">
        <v>658</v>
      </c>
      <c r="B313" t="s">
        <v>659</v>
      </c>
      <c r="C313" t="s">
        <v>14</v>
      </c>
      <c r="D313">
        <v>27</v>
      </c>
      <c r="E313" t="s">
        <v>43</v>
      </c>
      <c r="F313" t="s">
        <v>24</v>
      </c>
      <c r="G313">
        <v>137832</v>
      </c>
      <c r="H313" t="s">
        <v>17</v>
      </c>
      <c r="I313" s="1">
        <v>43767</v>
      </c>
      <c r="J313" t="s">
        <v>39</v>
      </c>
      <c r="K313" t="s">
        <v>34</v>
      </c>
      <c r="L313">
        <v>6</v>
      </c>
      <c r="M313" t="s">
        <v>1046</v>
      </c>
    </row>
    <row r="314" spans="1:13" x14ac:dyDescent="0.35">
      <c r="A314" t="s">
        <v>660</v>
      </c>
      <c r="B314" t="s">
        <v>661</v>
      </c>
      <c r="C314" t="s">
        <v>22</v>
      </c>
      <c r="D314">
        <v>61</v>
      </c>
      <c r="E314" t="s">
        <v>43</v>
      </c>
      <c r="F314" t="s">
        <v>47</v>
      </c>
      <c r="G314">
        <v>150406</v>
      </c>
      <c r="H314" t="s">
        <v>17</v>
      </c>
      <c r="I314" s="1">
        <v>43566</v>
      </c>
      <c r="J314" t="s">
        <v>55</v>
      </c>
      <c r="K314" t="s">
        <v>34</v>
      </c>
      <c r="L314">
        <v>6</v>
      </c>
      <c r="M314" t="s">
        <v>1046</v>
      </c>
    </row>
    <row r="315" spans="1:13" x14ac:dyDescent="0.35">
      <c r="A315" t="s">
        <v>662</v>
      </c>
      <c r="B315" t="s">
        <v>663</v>
      </c>
      <c r="C315" t="s">
        <v>14</v>
      </c>
      <c r="D315">
        <v>34</v>
      </c>
      <c r="E315" t="s">
        <v>37</v>
      </c>
      <c r="F315" t="s">
        <v>16</v>
      </c>
      <c r="G315">
        <v>145150</v>
      </c>
      <c r="H315" t="s">
        <v>17</v>
      </c>
      <c r="I315" s="1">
        <v>44714</v>
      </c>
      <c r="J315" t="s">
        <v>18</v>
      </c>
      <c r="K315" t="s">
        <v>34</v>
      </c>
      <c r="L315">
        <v>3</v>
      </c>
      <c r="M315" t="s">
        <v>1045</v>
      </c>
    </row>
    <row r="316" spans="1:13" x14ac:dyDescent="0.35">
      <c r="A316" t="s">
        <v>664</v>
      </c>
      <c r="B316" t="s">
        <v>665</v>
      </c>
      <c r="C316" t="s">
        <v>14</v>
      </c>
      <c r="D316">
        <v>55</v>
      </c>
      <c r="E316" t="s">
        <v>43</v>
      </c>
      <c r="F316" t="s">
        <v>52</v>
      </c>
      <c r="G316">
        <v>177087</v>
      </c>
      <c r="H316" t="s">
        <v>17</v>
      </c>
      <c r="I316" s="1">
        <v>45794</v>
      </c>
      <c r="J316" t="s">
        <v>26</v>
      </c>
      <c r="K316" t="s">
        <v>19</v>
      </c>
      <c r="L316">
        <v>0</v>
      </c>
      <c r="M316" t="s">
        <v>1044</v>
      </c>
    </row>
    <row r="317" spans="1:13" x14ac:dyDescent="0.35">
      <c r="A317" t="s">
        <v>666</v>
      </c>
      <c r="B317" t="s">
        <v>667</v>
      </c>
      <c r="C317" t="s">
        <v>22</v>
      </c>
      <c r="D317">
        <v>24</v>
      </c>
      <c r="E317" t="s">
        <v>15</v>
      </c>
      <c r="F317" t="s">
        <v>16</v>
      </c>
      <c r="G317">
        <v>53320</v>
      </c>
      <c r="H317" t="s">
        <v>17</v>
      </c>
      <c r="I317" s="1">
        <v>45058</v>
      </c>
      <c r="J317" t="s">
        <v>39</v>
      </c>
      <c r="K317" t="s">
        <v>44</v>
      </c>
      <c r="L317">
        <v>2</v>
      </c>
      <c r="M317" t="s">
        <v>1044</v>
      </c>
    </row>
    <row r="318" spans="1:13" x14ac:dyDescent="0.35">
      <c r="A318" t="s">
        <v>668</v>
      </c>
      <c r="B318" t="s">
        <v>669</v>
      </c>
      <c r="C318" t="s">
        <v>14</v>
      </c>
      <c r="D318">
        <v>63</v>
      </c>
      <c r="E318" t="s">
        <v>43</v>
      </c>
      <c r="F318" t="s">
        <v>38</v>
      </c>
      <c r="G318">
        <v>84881</v>
      </c>
      <c r="H318" t="s">
        <v>30</v>
      </c>
      <c r="I318" s="1">
        <v>44650</v>
      </c>
      <c r="J318" t="s">
        <v>55</v>
      </c>
      <c r="K318" t="s">
        <v>40</v>
      </c>
      <c r="L318">
        <v>3</v>
      </c>
      <c r="M318" t="s">
        <v>1045</v>
      </c>
    </row>
    <row r="319" spans="1:13" x14ac:dyDescent="0.35">
      <c r="A319" t="s">
        <v>670</v>
      </c>
      <c r="B319" t="s">
        <v>671</v>
      </c>
      <c r="C319" t="s">
        <v>14</v>
      </c>
      <c r="D319">
        <v>30</v>
      </c>
      <c r="E319" t="s">
        <v>23</v>
      </c>
      <c r="F319" t="s">
        <v>29</v>
      </c>
      <c r="G319">
        <v>110827</v>
      </c>
      <c r="H319" t="s">
        <v>25</v>
      </c>
      <c r="I319" s="1">
        <v>42381</v>
      </c>
      <c r="J319" t="s">
        <v>18</v>
      </c>
      <c r="K319" t="s">
        <v>34</v>
      </c>
      <c r="L319">
        <v>9</v>
      </c>
      <c r="M319" t="s">
        <v>1047</v>
      </c>
    </row>
    <row r="320" spans="1:13" x14ac:dyDescent="0.35">
      <c r="A320" t="s">
        <v>672</v>
      </c>
      <c r="B320" t="s">
        <v>673</v>
      </c>
      <c r="C320" t="s">
        <v>14</v>
      </c>
      <c r="D320">
        <v>57</v>
      </c>
      <c r="E320" t="s">
        <v>23</v>
      </c>
      <c r="F320" t="s">
        <v>52</v>
      </c>
      <c r="G320">
        <v>122215</v>
      </c>
      <c r="H320" t="s">
        <v>30</v>
      </c>
      <c r="I320" s="1">
        <v>43637</v>
      </c>
      <c r="J320" t="s">
        <v>26</v>
      </c>
      <c r="K320" t="s">
        <v>34</v>
      </c>
      <c r="L320">
        <v>6</v>
      </c>
      <c r="M320" t="s">
        <v>1046</v>
      </c>
    </row>
    <row r="321" spans="1:13" x14ac:dyDescent="0.35">
      <c r="A321" t="s">
        <v>674</v>
      </c>
      <c r="B321" t="s">
        <v>675</v>
      </c>
      <c r="C321" t="s">
        <v>22</v>
      </c>
      <c r="D321">
        <v>59</v>
      </c>
      <c r="E321" t="s">
        <v>37</v>
      </c>
      <c r="F321" t="s">
        <v>52</v>
      </c>
      <c r="G321">
        <v>177361</v>
      </c>
      <c r="H321" t="s">
        <v>17</v>
      </c>
      <c r="I321" s="1">
        <v>45185</v>
      </c>
      <c r="J321" t="s">
        <v>26</v>
      </c>
      <c r="K321" t="s">
        <v>19</v>
      </c>
      <c r="L321">
        <v>2</v>
      </c>
      <c r="M321" t="s">
        <v>1044</v>
      </c>
    </row>
    <row r="322" spans="1:13" x14ac:dyDescent="0.35">
      <c r="A322" t="s">
        <v>676</v>
      </c>
      <c r="B322" t="s">
        <v>677</v>
      </c>
      <c r="C322" t="s">
        <v>22</v>
      </c>
      <c r="D322">
        <v>26</v>
      </c>
      <c r="E322" t="s">
        <v>15</v>
      </c>
      <c r="F322" t="s">
        <v>38</v>
      </c>
      <c r="G322">
        <v>154461</v>
      </c>
      <c r="H322" t="s">
        <v>17</v>
      </c>
      <c r="I322" s="1">
        <v>44900</v>
      </c>
      <c r="J322" t="s">
        <v>39</v>
      </c>
      <c r="K322" t="s">
        <v>34</v>
      </c>
      <c r="L322">
        <v>3</v>
      </c>
      <c r="M322" t="s">
        <v>1045</v>
      </c>
    </row>
    <row r="323" spans="1:13" x14ac:dyDescent="0.35">
      <c r="A323" t="s">
        <v>678</v>
      </c>
      <c r="B323" t="s">
        <v>679</v>
      </c>
      <c r="C323" t="s">
        <v>14</v>
      </c>
      <c r="D323">
        <v>67</v>
      </c>
      <c r="E323" t="s">
        <v>23</v>
      </c>
      <c r="F323" t="s">
        <v>38</v>
      </c>
      <c r="G323">
        <v>176755</v>
      </c>
      <c r="H323" t="s">
        <v>17</v>
      </c>
      <c r="I323" s="1">
        <v>43613</v>
      </c>
      <c r="J323" t="s">
        <v>55</v>
      </c>
      <c r="K323" t="s">
        <v>19</v>
      </c>
      <c r="L323">
        <v>6</v>
      </c>
      <c r="M323" t="s">
        <v>1046</v>
      </c>
    </row>
    <row r="324" spans="1:13" x14ac:dyDescent="0.35">
      <c r="A324" t="s">
        <v>680</v>
      </c>
      <c r="B324" t="s">
        <v>681</v>
      </c>
      <c r="C324" t="s">
        <v>22</v>
      </c>
      <c r="D324">
        <v>44</v>
      </c>
      <c r="E324" t="s">
        <v>23</v>
      </c>
      <c r="F324" t="s">
        <v>33</v>
      </c>
      <c r="G324">
        <v>164701</v>
      </c>
      <c r="H324" t="s">
        <v>17</v>
      </c>
      <c r="I324" s="1">
        <v>43365</v>
      </c>
      <c r="J324" t="s">
        <v>18</v>
      </c>
      <c r="K324" t="s">
        <v>19</v>
      </c>
      <c r="L324">
        <v>7</v>
      </c>
      <c r="M324" t="s">
        <v>1046</v>
      </c>
    </row>
    <row r="325" spans="1:13" x14ac:dyDescent="0.35">
      <c r="A325" t="s">
        <v>682</v>
      </c>
      <c r="B325" t="s">
        <v>683</v>
      </c>
      <c r="C325" t="s">
        <v>22</v>
      </c>
      <c r="D325">
        <v>19</v>
      </c>
      <c r="E325" t="s">
        <v>15</v>
      </c>
      <c r="F325" t="s">
        <v>47</v>
      </c>
      <c r="G325">
        <v>81550</v>
      </c>
      <c r="H325" t="s">
        <v>25</v>
      </c>
      <c r="I325" s="1">
        <v>42817</v>
      </c>
      <c r="J325" t="s">
        <v>39</v>
      </c>
      <c r="K325" t="s">
        <v>40</v>
      </c>
      <c r="L325">
        <v>8</v>
      </c>
      <c r="M325" t="s">
        <v>1046</v>
      </c>
    </row>
    <row r="326" spans="1:13" x14ac:dyDescent="0.35">
      <c r="A326" t="s">
        <v>684</v>
      </c>
      <c r="B326" t="s">
        <v>685</v>
      </c>
      <c r="C326" t="s">
        <v>22</v>
      </c>
      <c r="D326">
        <v>22</v>
      </c>
      <c r="E326" t="s">
        <v>43</v>
      </c>
      <c r="F326" t="s">
        <v>29</v>
      </c>
      <c r="G326">
        <v>44826</v>
      </c>
      <c r="H326" t="s">
        <v>17</v>
      </c>
      <c r="I326" s="1">
        <v>44640</v>
      </c>
      <c r="J326" t="s">
        <v>39</v>
      </c>
      <c r="K326" t="s">
        <v>44</v>
      </c>
      <c r="L326">
        <v>3</v>
      </c>
      <c r="M326" t="s">
        <v>1045</v>
      </c>
    </row>
    <row r="327" spans="1:13" x14ac:dyDescent="0.35">
      <c r="A327" t="s">
        <v>686</v>
      </c>
      <c r="B327" t="s">
        <v>687</v>
      </c>
      <c r="C327" t="s">
        <v>22</v>
      </c>
      <c r="D327">
        <v>46</v>
      </c>
      <c r="E327" t="s">
        <v>43</v>
      </c>
      <c r="F327" t="s">
        <v>24</v>
      </c>
      <c r="G327">
        <v>120734</v>
      </c>
      <c r="H327" t="s">
        <v>17</v>
      </c>
      <c r="I327" s="1">
        <v>43847</v>
      </c>
      <c r="J327" t="s">
        <v>26</v>
      </c>
      <c r="K327" t="s">
        <v>34</v>
      </c>
      <c r="L327">
        <v>5</v>
      </c>
      <c r="M327" t="s">
        <v>1045</v>
      </c>
    </row>
    <row r="328" spans="1:13" x14ac:dyDescent="0.35">
      <c r="A328" t="s">
        <v>688</v>
      </c>
      <c r="B328" t="s">
        <v>689</v>
      </c>
      <c r="C328" t="s">
        <v>14</v>
      </c>
      <c r="D328">
        <v>54</v>
      </c>
      <c r="E328" t="s">
        <v>37</v>
      </c>
      <c r="F328" t="s">
        <v>52</v>
      </c>
      <c r="G328">
        <v>177702</v>
      </c>
      <c r="H328" t="s">
        <v>17</v>
      </c>
      <c r="I328" s="1">
        <v>45127</v>
      </c>
      <c r="J328" t="s">
        <v>26</v>
      </c>
      <c r="K328" t="s">
        <v>19</v>
      </c>
      <c r="L328">
        <v>2</v>
      </c>
      <c r="M328" t="s">
        <v>1044</v>
      </c>
    </row>
    <row r="329" spans="1:13" x14ac:dyDescent="0.35">
      <c r="A329" t="s">
        <v>690</v>
      </c>
      <c r="B329" t="s">
        <v>691</v>
      </c>
      <c r="C329" t="s">
        <v>14</v>
      </c>
      <c r="D329">
        <v>55</v>
      </c>
      <c r="E329" t="s">
        <v>43</v>
      </c>
      <c r="F329" t="s">
        <v>24</v>
      </c>
      <c r="G329">
        <v>197235</v>
      </c>
      <c r="H329" t="s">
        <v>17</v>
      </c>
      <c r="I329" s="1">
        <v>44461</v>
      </c>
      <c r="J329" t="s">
        <v>26</v>
      </c>
      <c r="K329" t="s">
        <v>19</v>
      </c>
      <c r="L329">
        <v>4</v>
      </c>
      <c r="M329" t="s">
        <v>1045</v>
      </c>
    </row>
    <row r="330" spans="1:13" x14ac:dyDescent="0.35">
      <c r="A330" t="s">
        <v>692</v>
      </c>
      <c r="B330" t="s">
        <v>693</v>
      </c>
      <c r="C330" t="s">
        <v>22</v>
      </c>
      <c r="D330">
        <v>36</v>
      </c>
      <c r="E330" t="s">
        <v>15</v>
      </c>
      <c r="F330" t="s">
        <v>16</v>
      </c>
      <c r="G330">
        <v>118511</v>
      </c>
      <c r="H330" t="s">
        <v>25</v>
      </c>
      <c r="I330" s="1">
        <v>44791</v>
      </c>
      <c r="J330" t="s">
        <v>18</v>
      </c>
      <c r="K330" t="s">
        <v>34</v>
      </c>
      <c r="L330">
        <v>3</v>
      </c>
      <c r="M330" t="s">
        <v>1045</v>
      </c>
    </row>
    <row r="331" spans="1:13" x14ac:dyDescent="0.35">
      <c r="A331" t="s">
        <v>694</v>
      </c>
      <c r="B331" t="s">
        <v>695</v>
      </c>
      <c r="C331" t="s">
        <v>22</v>
      </c>
      <c r="D331">
        <v>25</v>
      </c>
      <c r="E331" t="s">
        <v>23</v>
      </c>
      <c r="F331" t="s">
        <v>16</v>
      </c>
      <c r="G331">
        <v>31653</v>
      </c>
      <c r="H331" t="s">
        <v>17</v>
      </c>
      <c r="I331" s="1">
        <v>42830</v>
      </c>
      <c r="J331" t="s">
        <v>39</v>
      </c>
      <c r="K331" t="s">
        <v>44</v>
      </c>
      <c r="L331">
        <v>8</v>
      </c>
      <c r="M331" t="s">
        <v>1046</v>
      </c>
    </row>
    <row r="332" spans="1:13" x14ac:dyDescent="0.35">
      <c r="A332" t="s">
        <v>696</v>
      </c>
      <c r="B332" t="s">
        <v>697</v>
      </c>
      <c r="C332" t="s">
        <v>14</v>
      </c>
      <c r="D332">
        <v>65</v>
      </c>
      <c r="E332" t="s">
        <v>43</v>
      </c>
      <c r="F332" t="s">
        <v>24</v>
      </c>
      <c r="G332">
        <v>179033</v>
      </c>
      <c r="H332" t="s">
        <v>17</v>
      </c>
      <c r="I332" s="1">
        <v>43776</v>
      </c>
      <c r="J332" t="s">
        <v>55</v>
      </c>
      <c r="K332" t="s">
        <v>19</v>
      </c>
      <c r="L332">
        <v>6</v>
      </c>
      <c r="M332" t="s">
        <v>1046</v>
      </c>
    </row>
    <row r="333" spans="1:13" x14ac:dyDescent="0.35">
      <c r="A333" t="s">
        <v>698</v>
      </c>
      <c r="B333" t="s">
        <v>699</v>
      </c>
      <c r="C333" t="s">
        <v>14</v>
      </c>
      <c r="D333">
        <v>62</v>
      </c>
      <c r="E333" t="s">
        <v>37</v>
      </c>
      <c r="F333" t="s">
        <v>16</v>
      </c>
      <c r="G333">
        <v>101941</v>
      </c>
      <c r="H333" t="s">
        <v>17</v>
      </c>
      <c r="I333" s="1">
        <v>44448</v>
      </c>
      <c r="J333" t="s">
        <v>55</v>
      </c>
      <c r="K333" t="s">
        <v>40</v>
      </c>
      <c r="L333">
        <v>4</v>
      </c>
      <c r="M333" t="s">
        <v>1045</v>
      </c>
    </row>
    <row r="334" spans="1:13" x14ac:dyDescent="0.35">
      <c r="A334" t="s">
        <v>700</v>
      </c>
      <c r="B334" t="s">
        <v>701</v>
      </c>
      <c r="C334" t="s">
        <v>22</v>
      </c>
      <c r="D334">
        <v>18</v>
      </c>
      <c r="E334" t="s">
        <v>43</v>
      </c>
      <c r="F334" t="s">
        <v>47</v>
      </c>
      <c r="G334">
        <v>53662</v>
      </c>
      <c r="H334" t="s">
        <v>17</v>
      </c>
      <c r="I334" s="1">
        <v>42347</v>
      </c>
      <c r="J334" t="s">
        <v>39</v>
      </c>
      <c r="K334" t="s">
        <v>44</v>
      </c>
      <c r="L334">
        <v>10</v>
      </c>
      <c r="M334" t="s">
        <v>1047</v>
      </c>
    </row>
    <row r="335" spans="1:13" x14ac:dyDescent="0.35">
      <c r="A335" t="s">
        <v>702</v>
      </c>
      <c r="B335" t="s">
        <v>703</v>
      </c>
      <c r="C335" t="s">
        <v>14</v>
      </c>
      <c r="D335">
        <v>39</v>
      </c>
      <c r="E335" t="s">
        <v>15</v>
      </c>
      <c r="F335" t="s">
        <v>38</v>
      </c>
      <c r="G335">
        <v>118818</v>
      </c>
      <c r="H335" t="s">
        <v>25</v>
      </c>
      <c r="I335" s="1">
        <v>43494</v>
      </c>
      <c r="J335" t="s">
        <v>18</v>
      </c>
      <c r="K335" t="s">
        <v>34</v>
      </c>
      <c r="L335">
        <v>6</v>
      </c>
      <c r="M335" t="s">
        <v>1046</v>
      </c>
    </row>
    <row r="336" spans="1:13" x14ac:dyDescent="0.35">
      <c r="A336" t="s">
        <v>704</v>
      </c>
      <c r="B336" t="s">
        <v>705</v>
      </c>
      <c r="C336" t="s">
        <v>22</v>
      </c>
      <c r="D336">
        <v>69</v>
      </c>
      <c r="E336" t="s">
        <v>37</v>
      </c>
      <c r="F336" t="s">
        <v>16</v>
      </c>
      <c r="G336">
        <v>172360</v>
      </c>
      <c r="H336" t="s">
        <v>25</v>
      </c>
      <c r="I336" s="1">
        <v>44573</v>
      </c>
      <c r="J336" t="s">
        <v>55</v>
      </c>
      <c r="K336" t="s">
        <v>19</v>
      </c>
      <c r="L336">
        <v>3</v>
      </c>
      <c r="M336" t="s">
        <v>1045</v>
      </c>
    </row>
    <row r="337" spans="1:13" x14ac:dyDescent="0.35">
      <c r="A337" t="s">
        <v>706</v>
      </c>
      <c r="B337" t="s">
        <v>707</v>
      </c>
      <c r="C337" t="s">
        <v>22</v>
      </c>
      <c r="D337">
        <v>34</v>
      </c>
      <c r="E337" t="s">
        <v>43</v>
      </c>
      <c r="F337" t="s">
        <v>33</v>
      </c>
      <c r="G337">
        <v>115081</v>
      </c>
      <c r="H337" t="s">
        <v>30</v>
      </c>
      <c r="I337" s="1">
        <v>42817</v>
      </c>
      <c r="J337" t="s">
        <v>18</v>
      </c>
      <c r="K337" t="s">
        <v>34</v>
      </c>
      <c r="L337">
        <v>8</v>
      </c>
      <c r="M337" t="s">
        <v>1046</v>
      </c>
    </row>
    <row r="338" spans="1:13" x14ac:dyDescent="0.35">
      <c r="A338" t="s">
        <v>708</v>
      </c>
      <c r="B338" t="s">
        <v>709</v>
      </c>
      <c r="C338" t="s">
        <v>14</v>
      </c>
      <c r="D338">
        <v>24</v>
      </c>
      <c r="E338" t="s">
        <v>37</v>
      </c>
      <c r="F338" t="s">
        <v>16</v>
      </c>
      <c r="G338">
        <v>56877</v>
      </c>
      <c r="H338" t="s">
        <v>25</v>
      </c>
      <c r="I338" s="1">
        <v>45877</v>
      </c>
      <c r="J338" t="s">
        <v>39</v>
      </c>
      <c r="K338" t="s">
        <v>44</v>
      </c>
      <c r="L338">
        <v>0</v>
      </c>
      <c r="M338" t="s">
        <v>1044</v>
      </c>
    </row>
    <row r="339" spans="1:13" x14ac:dyDescent="0.35">
      <c r="A339" t="s">
        <v>710</v>
      </c>
      <c r="B339" t="s">
        <v>711</v>
      </c>
      <c r="C339" t="s">
        <v>14</v>
      </c>
      <c r="D339">
        <v>42</v>
      </c>
      <c r="E339" t="s">
        <v>15</v>
      </c>
      <c r="F339" t="s">
        <v>29</v>
      </c>
      <c r="G339">
        <v>131562</v>
      </c>
      <c r="H339" t="s">
        <v>17</v>
      </c>
      <c r="I339" s="1">
        <v>44868</v>
      </c>
      <c r="J339" t="s">
        <v>18</v>
      </c>
      <c r="K339" t="s">
        <v>34</v>
      </c>
      <c r="L339">
        <v>3</v>
      </c>
      <c r="M339" t="s">
        <v>1045</v>
      </c>
    </row>
    <row r="340" spans="1:13" x14ac:dyDescent="0.35">
      <c r="A340" t="s">
        <v>712</v>
      </c>
      <c r="B340" t="s">
        <v>713</v>
      </c>
      <c r="C340" t="s">
        <v>22</v>
      </c>
      <c r="D340">
        <v>62</v>
      </c>
      <c r="E340" t="s">
        <v>23</v>
      </c>
      <c r="F340" t="s">
        <v>47</v>
      </c>
      <c r="G340">
        <v>166385</v>
      </c>
      <c r="H340" t="s">
        <v>25</v>
      </c>
      <c r="I340" s="1">
        <v>43280</v>
      </c>
      <c r="J340" t="s">
        <v>55</v>
      </c>
      <c r="K340" t="s">
        <v>19</v>
      </c>
      <c r="L340">
        <v>7</v>
      </c>
      <c r="M340" t="s">
        <v>1046</v>
      </c>
    </row>
    <row r="341" spans="1:13" x14ac:dyDescent="0.35">
      <c r="A341" t="s">
        <v>714</v>
      </c>
      <c r="B341" t="s">
        <v>715</v>
      </c>
      <c r="C341" t="s">
        <v>22</v>
      </c>
      <c r="D341">
        <v>21</v>
      </c>
      <c r="E341" t="s">
        <v>15</v>
      </c>
      <c r="F341" t="s">
        <v>29</v>
      </c>
      <c r="G341">
        <v>92715</v>
      </c>
      <c r="H341" t="s">
        <v>17</v>
      </c>
      <c r="I341" s="1">
        <v>42927</v>
      </c>
      <c r="J341" t="s">
        <v>39</v>
      </c>
      <c r="K341" t="s">
        <v>40</v>
      </c>
      <c r="L341">
        <v>8</v>
      </c>
      <c r="M341" t="s">
        <v>1046</v>
      </c>
    </row>
    <row r="342" spans="1:13" x14ac:dyDescent="0.35">
      <c r="A342" t="s">
        <v>716</v>
      </c>
      <c r="B342" t="s">
        <v>717</v>
      </c>
      <c r="C342" t="s">
        <v>14</v>
      </c>
      <c r="D342">
        <v>53</v>
      </c>
      <c r="E342" t="s">
        <v>15</v>
      </c>
      <c r="F342" t="s">
        <v>29</v>
      </c>
      <c r="G342">
        <v>161398</v>
      </c>
      <c r="H342" t="s">
        <v>17</v>
      </c>
      <c r="I342" s="1">
        <v>43009</v>
      </c>
      <c r="J342" t="s">
        <v>26</v>
      </c>
      <c r="K342" t="s">
        <v>19</v>
      </c>
      <c r="L342">
        <v>8</v>
      </c>
      <c r="M342" t="s">
        <v>1046</v>
      </c>
    </row>
    <row r="343" spans="1:13" x14ac:dyDescent="0.35">
      <c r="A343" t="s">
        <v>718</v>
      </c>
      <c r="B343" t="s">
        <v>719</v>
      </c>
      <c r="C343" t="s">
        <v>22</v>
      </c>
      <c r="D343">
        <v>23</v>
      </c>
      <c r="E343" t="s">
        <v>15</v>
      </c>
      <c r="F343" t="s">
        <v>33</v>
      </c>
      <c r="G343">
        <v>130091</v>
      </c>
      <c r="H343" t="s">
        <v>25</v>
      </c>
      <c r="I343" s="1">
        <v>45017</v>
      </c>
      <c r="J343" t="s">
        <v>39</v>
      </c>
      <c r="K343" t="s">
        <v>34</v>
      </c>
      <c r="L343">
        <v>2</v>
      </c>
      <c r="M343" t="s">
        <v>1044</v>
      </c>
    </row>
    <row r="344" spans="1:13" x14ac:dyDescent="0.35">
      <c r="A344" t="s">
        <v>720</v>
      </c>
      <c r="B344" t="s">
        <v>721</v>
      </c>
      <c r="C344" t="s">
        <v>14</v>
      </c>
      <c r="D344">
        <v>48</v>
      </c>
      <c r="E344" t="s">
        <v>15</v>
      </c>
      <c r="F344" t="s">
        <v>47</v>
      </c>
      <c r="G344">
        <v>152632</v>
      </c>
      <c r="H344" t="s">
        <v>17</v>
      </c>
      <c r="I344" s="1">
        <v>43154</v>
      </c>
      <c r="J344" t="s">
        <v>26</v>
      </c>
      <c r="K344" t="s">
        <v>34</v>
      </c>
      <c r="L344">
        <v>7</v>
      </c>
      <c r="M344" t="s">
        <v>1046</v>
      </c>
    </row>
    <row r="345" spans="1:13" x14ac:dyDescent="0.35">
      <c r="A345" t="s">
        <v>722</v>
      </c>
      <c r="B345" t="s">
        <v>723</v>
      </c>
      <c r="C345" t="s">
        <v>22</v>
      </c>
      <c r="D345">
        <v>36</v>
      </c>
      <c r="E345" t="s">
        <v>23</v>
      </c>
      <c r="F345" t="s">
        <v>47</v>
      </c>
      <c r="G345">
        <v>99148</v>
      </c>
      <c r="H345" t="s">
        <v>30</v>
      </c>
      <c r="I345" s="1">
        <v>43052</v>
      </c>
      <c r="J345" t="s">
        <v>18</v>
      </c>
      <c r="K345" t="s">
        <v>40</v>
      </c>
      <c r="L345">
        <v>8</v>
      </c>
      <c r="M345" t="s">
        <v>1046</v>
      </c>
    </row>
    <row r="346" spans="1:13" x14ac:dyDescent="0.35">
      <c r="A346" t="s">
        <v>724</v>
      </c>
      <c r="B346" t="s">
        <v>725</v>
      </c>
      <c r="C346" t="s">
        <v>14</v>
      </c>
      <c r="D346">
        <v>61</v>
      </c>
      <c r="E346" t="s">
        <v>23</v>
      </c>
      <c r="F346" t="s">
        <v>47</v>
      </c>
      <c r="G346">
        <v>103186</v>
      </c>
      <c r="H346" t="s">
        <v>17</v>
      </c>
      <c r="I346" s="1">
        <v>43704</v>
      </c>
      <c r="J346" t="s">
        <v>55</v>
      </c>
      <c r="K346" t="s">
        <v>40</v>
      </c>
      <c r="L346">
        <v>6</v>
      </c>
      <c r="M346" t="s">
        <v>1046</v>
      </c>
    </row>
    <row r="347" spans="1:13" x14ac:dyDescent="0.35">
      <c r="A347" t="s">
        <v>726</v>
      </c>
      <c r="B347" t="s">
        <v>727</v>
      </c>
      <c r="C347" t="s">
        <v>14</v>
      </c>
      <c r="D347">
        <v>71</v>
      </c>
      <c r="E347" t="s">
        <v>37</v>
      </c>
      <c r="F347" t="s">
        <v>47</v>
      </c>
      <c r="G347">
        <v>177817</v>
      </c>
      <c r="H347" t="s">
        <v>25</v>
      </c>
      <c r="I347" s="1">
        <v>44709</v>
      </c>
      <c r="J347" t="s">
        <v>55</v>
      </c>
      <c r="K347" t="s">
        <v>19</v>
      </c>
      <c r="L347">
        <v>3</v>
      </c>
      <c r="M347" t="s">
        <v>1045</v>
      </c>
    </row>
    <row r="348" spans="1:13" x14ac:dyDescent="0.35">
      <c r="A348" t="s">
        <v>728</v>
      </c>
      <c r="B348" t="s">
        <v>729</v>
      </c>
      <c r="C348" t="s">
        <v>14</v>
      </c>
      <c r="D348">
        <v>56</v>
      </c>
      <c r="E348" t="s">
        <v>43</v>
      </c>
      <c r="F348" t="s">
        <v>47</v>
      </c>
      <c r="G348">
        <v>182962</v>
      </c>
      <c r="H348" t="s">
        <v>25</v>
      </c>
      <c r="I348" s="1">
        <v>45560</v>
      </c>
      <c r="J348" t="s">
        <v>26</v>
      </c>
      <c r="K348" t="s">
        <v>19</v>
      </c>
      <c r="L348">
        <v>1</v>
      </c>
      <c r="M348" t="s">
        <v>1044</v>
      </c>
    </row>
    <row r="349" spans="1:13" x14ac:dyDescent="0.35">
      <c r="A349" t="s">
        <v>730</v>
      </c>
      <c r="B349" t="s">
        <v>731</v>
      </c>
      <c r="C349" t="s">
        <v>22</v>
      </c>
      <c r="D349">
        <v>44</v>
      </c>
      <c r="E349" t="s">
        <v>23</v>
      </c>
      <c r="F349" t="s">
        <v>33</v>
      </c>
      <c r="G349">
        <v>171094</v>
      </c>
      <c r="H349" t="s">
        <v>25</v>
      </c>
      <c r="I349" s="1">
        <v>43485</v>
      </c>
      <c r="J349" t="s">
        <v>18</v>
      </c>
      <c r="K349" t="s">
        <v>19</v>
      </c>
      <c r="L349">
        <v>6</v>
      </c>
      <c r="M349" t="s">
        <v>1046</v>
      </c>
    </row>
    <row r="350" spans="1:13" x14ac:dyDescent="0.35">
      <c r="A350" t="s">
        <v>732</v>
      </c>
      <c r="B350" t="s">
        <v>733</v>
      </c>
      <c r="C350" t="s">
        <v>22</v>
      </c>
      <c r="D350">
        <v>27</v>
      </c>
      <c r="E350" t="s">
        <v>23</v>
      </c>
      <c r="F350" t="s">
        <v>16</v>
      </c>
      <c r="G350">
        <v>143629</v>
      </c>
      <c r="H350" t="s">
        <v>25</v>
      </c>
      <c r="I350" s="1">
        <v>45888</v>
      </c>
      <c r="J350" t="s">
        <v>39</v>
      </c>
      <c r="K350" t="s">
        <v>34</v>
      </c>
      <c r="L350">
        <v>0</v>
      </c>
      <c r="M350" t="s">
        <v>1044</v>
      </c>
    </row>
    <row r="351" spans="1:13" x14ac:dyDescent="0.35">
      <c r="A351" t="s">
        <v>734</v>
      </c>
      <c r="B351" t="s">
        <v>735</v>
      </c>
      <c r="C351" t="s">
        <v>14</v>
      </c>
      <c r="D351">
        <v>43</v>
      </c>
      <c r="E351" t="s">
        <v>43</v>
      </c>
      <c r="F351" t="s">
        <v>29</v>
      </c>
      <c r="G351">
        <v>90316</v>
      </c>
      <c r="H351" t="s">
        <v>25</v>
      </c>
      <c r="I351" s="1">
        <v>44926</v>
      </c>
      <c r="J351" t="s">
        <v>18</v>
      </c>
      <c r="K351" t="s">
        <v>40</v>
      </c>
      <c r="L351">
        <v>3</v>
      </c>
      <c r="M351" t="s">
        <v>1045</v>
      </c>
    </row>
    <row r="352" spans="1:13" x14ac:dyDescent="0.35">
      <c r="A352" t="s">
        <v>736</v>
      </c>
      <c r="B352" t="s">
        <v>737</v>
      </c>
      <c r="C352" t="s">
        <v>22</v>
      </c>
      <c r="D352">
        <v>36</v>
      </c>
      <c r="E352" t="s">
        <v>23</v>
      </c>
      <c r="F352" t="s">
        <v>47</v>
      </c>
      <c r="G352">
        <v>48380</v>
      </c>
      <c r="H352" t="s">
        <v>17</v>
      </c>
      <c r="I352" s="1">
        <v>44241</v>
      </c>
      <c r="J352" t="s">
        <v>18</v>
      </c>
      <c r="K352" t="s">
        <v>44</v>
      </c>
      <c r="L352">
        <v>4</v>
      </c>
      <c r="M352" t="s">
        <v>1045</v>
      </c>
    </row>
    <row r="353" spans="1:13" x14ac:dyDescent="0.35">
      <c r="A353" t="s">
        <v>738</v>
      </c>
      <c r="B353" t="s">
        <v>739</v>
      </c>
      <c r="C353" t="s">
        <v>14</v>
      </c>
      <c r="D353">
        <v>56</v>
      </c>
      <c r="E353" t="s">
        <v>15</v>
      </c>
      <c r="F353" t="s">
        <v>52</v>
      </c>
      <c r="G353">
        <v>130198</v>
      </c>
      <c r="H353" t="s">
        <v>17</v>
      </c>
      <c r="I353" s="1">
        <v>43973</v>
      </c>
      <c r="J353" t="s">
        <v>26</v>
      </c>
      <c r="K353" t="s">
        <v>34</v>
      </c>
      <c r="L353">
        <v>5</v>
      </c>
      <c r="M353" t="s">
        <v>1045</v>
      </c>
    </row>
    <row r="354" spans="1:13" x14ac:dyDescent="0.35">
      <c r="A354" t="s">
        <v>740</v>
      </c>
      <c r="B354" t="s">
        <v>741</v>
      </c>
      <c r="C354" t="s">
        <v>14</v>
      </c>
      <c r="D354">
        <v>20</v>
      </c>
      <c r="E354" t="s">
        <v>15</v>
      </c>
      <c r="F354" t="s">
        <v>16</v>
      </c>
      <c r="G354">
        <v>22356</v>
      </c>
      <c r="H354" t="s">
        <v>17</v>
      </c>
      <c r="I354" s="1">
        <v>43727</v>
      </c>
      <c r="J354" t="s">
        <v>39</v>
      </c>
      <c r="K354" t="s">
        <v>44</v>
      </c>
      <c r="L354">
        <v>6</v>
      </c>
      <c r="M354" t="s">
        <v>1046</v>
      </c>
    </row>
    <row r="355" spans="1:13" x14ac:dyDescent="0.35">
      <c r="A355" t="s">
        <v>742</v>
      </c>
      <c r="B355" t="s">
        <v>743</v>
      </c>
      <c r="C355" t="s">
        <v>22</v>
      </c>
      <c r="D355">
        <v>62</v>
      </c>
      <c r="E355" t="s">
        <v>43</v>
      </c>
      <c r="F355" t="s">
        <v>16</v>
      </c>
      <c r="G355">
        <v>90326</v>
      </c>
      <c r="H355" t="s">
        <v>25</v>
      </c>
      <c r="I355" s="1">
        <v>43758</v>
      </c>
      <c r="J355" t="s">
        <v>55</v>
      </c>
      <c r="K355" t="s">
        <v>40</v>
      </c>
      <c r="L355">
        <v>6</v>
      </c>
      <c r="M355" t="s">
        <v>1046</v>
      </c>
    </row>
    <row r="356" spans="1:13" x14ac:dyDescent="0.35">
      <c r="A356" t="s">
        <v>744</v>
      </c>
      <c r="B356" t="s">
        <v>745</v>
      </c>
      <c r="C356" t="s">
        <v>22</v>
      </c>
      <c r="D356">
        <v>30</v>
      </c>
      <c r="E356" t="s">
        <v>37</v>
      </c>
      <c r="F356" t="s">
        <v>29</v>
      </c>
      <c r="G356">
        <v>112447</v>
      </c>
      <c r="H356" t="s">
        <v>17</v>
      </c>
      <c r="I356" s="1">
        <v>43847</v>
      </c>
      <c r="J356" t="s">
        <v>18</v>
      </c>
      <c r="K356" t="s">
        <v>34</v>
      </c>
      <c r="L356">
        <v>5</v>
      </c>
      <c r="M356" t="s">
        <v>1045</v>
      </c>
    </row>
    <row r="357" spans="1:13" x14ac:dyDescent="0.35">
      <c r="A357" t="s">
        <v>746</v>
      </c>
      <c r="B357" t="s">
        <v>747</v>
      </c>
      <c r="C357" t="s">
        <v>14</v>
      </c>
      <c r="D357">
        <v>67</v>
      </c>
      <c r="E357" t="s">
        <v>37</v>
      </c>
      <c r="F357" t="s">
        <v>33</v>
      </c>
      <c r="G357">
        <v>134994</v>
      </c>
      <c r="H357" t="s">
        <v>25</v>
      </c>
      <c r="I357" s="1">
        <v>43374</v>
      </c>
      <c r="J357" t="s">
        <v>55</v>
      </c>
      <c r="K357" t="s">
        <v>34</v>
      </c>
      <c r="L357">
        <v>7</v>
      </c>
      <c r="M357" t="s">
        <v>1046</v>
      </c>
    </row>
    <row r="358" spans="1:13" x14ac:dyDescent="0.35">
      <c r="A358" t="s">
        <v>748</v>
      </c>
      <c r="B358" t="s">
        <v>749</v>
      </c>
      <c r="C358" t="s">
        <v>22</v>
      </c>
      <c r="D358">
        <v>45</v>
      </c>
      <c r="E358" t="s">
        <v>43</v>
      </c>
      <c r="F358" t="s">
        <v>24</v>
      </c>
      <c r="G358">
        <v>40049</v>
      </c>
      <c r="H358" t="s">
        <v>17</v>
      </c>
      <c r="I358" s="1">
        <v>44190</v>
      </c>
      <c r="J358" t="s">
        <v>26</v>
      </c>
      <c r="K358" t="s">
        <v>44</v>
      </c>
      <c r="L358">
        <v>5</v>
      </c>
      <c r="M358" t="s">
        <v>1045</v>
      </c>
    </row>
    <row r="359" spans="1:13" x14ac:dyDescent="0.35">
      <c r="A359" t="s">
        <v>750</v>
      </c>
      <c r="B359" t="s">
        <v>751</v>
      </c>
      <c r="C359" t="s">
        <v>22</v>
      </c>
      <c r="D359">
        <v>37</v>
      </c>
      <c r="E359" t="s">
        <v>43</v>
      </c>
      <c r="F359" t="s">
        <v>24</v>
      </c>
      <c r="G359">
        <v>125361</v>
      </c>
      <c r="H359" t="s">
        <v>17</v>
      </c>
      <c r="I359" s="1">
        <v>44342</v>
      </c>
      <c r="J359" t="s">
        <v>18</v>
      </c>
      <c r="K359" t="s">
        <v>34</v>
      </c>
      <c r="L359">
        <v>4</v>
      </c>
      <c r="M359" t="s">
        <v>1045</v>
      </c>
    </row>
    <row r="360" spans="1:13" x14ac:dyDescent="0.35">
      <c r="A360" t="s">
        <v>752</v>
      </c>
      <c r="B360" t="s">
        <v>753</v>
      </c>
      <c r="C360" t="s">
        <v>14</v>
      </c>
      <c r="D360">
        <v>45</v>
      </c>
      <c r="E360" t="s">
        <v>15</v>
      </c>
      <c r="F360" t="s">
        <v>16</v>
      </c>
      <c r="G360">
        <v>36082</v>
      </c>
      <c r="H360" t="s">
        <v>25</v>
      </c>
      <c r="I360" s="1">
        <v>44954</v>
      </c>
      <c r="J360" t="s">
        <v>26</v>
      </c>
      <c r="K360" t="s">
        <v>44</v>
      </c>
      <c r="L360">
        <v>2</v>
      </c>
      <c r="M360" t="s">
        <v>1044</v>
      </c>
    </row>
    <row r="361" spans="1:13" x14ac:dyDescent="0.35">
      <c r="A361" t="s">
        <v>754</v>
      </c>
      <c r="B361" t="s">
        <v>755</v>
      </c>
      <c r="C361" t="s">
        <v>14</v>
      </c>
      <c r="D361">
        <v>25</v>
      </c>
      <c r="E361" t="s">
        <v>37</v>
      </c>
      <c r="F361" t="s">
        <v>38</v>
      </c>
      <c r="G361">
        <v>20661</v>
      </c>
      <c r="H361" t="s">
        <v>17</v>
      </c>
      <c r="I361" s="1">
        <v>44819</v>
      </c>
      <c r="J361" t="s">
        <v>39</v>
      </c>
      <c r="K361" t="s">
        <v>44</v>
      </c>
      <c r="L361">
        <v>3</v>
      </c>
      <c r="M361" t="s">
        <v>1045</v>
      </c>
    </row>
    <row r="362" spans="1:13" x14ac:dyDescent="0.35">
      <c r="A362" t="s">
        <v>756</v>
      </c>
      <c r="B362" t="s">
        <v>757</v>
      </c>
      <c r="C362" t="s">
        <v>22</v>
      </c>
      <c r="D362">
        <v>58</v>
      </c>
      <c r="E362" t="s">
        <v>23</v>
      </c>
      <c r="F362" t="s">
        <v>38</v>
      </c>
      <c r="G362">
        <v>188484</v>
      </c>
      <c r="H362" t="s">
        <v>17</v>
      </c>
      <c r="I362" s="1">
        <v>45392</v>
      </c>
      <c r="J362" t="s">
        <v>26</v>
      </c>
      <c r="K362" t="s">
        <v>19</v>
      </c>
      <c r="L362">
        <v>1</v>
      </c>
      <c r="M362" t="s">
        <v>1044</v>
      </c>
    </row>
    <row r="363" spans="1:13" x14ac:dyDescent="0.35">
      <c r="A363" t="s">
        <v>758</v>
      </c>
      <c r="B363" t="s">
        <v>759</v>
      </c>
      <c r="C363" t="s">
        <v>14</v>
      </c>
      <c r="D363">
        <v>56</v>
      </c>
      <c r="E363" t="s">
        <v>15</v>
      </c>
      <c r="F363" t="s">
        <v>29</v>
      </c>
      <c r="G363">
        <v>22920</v>
      </c>
      <c r="H363" t="s">
        <v>17</v>
      </c>
      <c r="I363" s="1">
        <v>42295</v>
      </c>
      <c r="J363" t="s">
        <v>26</v>
      </c>
      <c r="K363" t="s">
        <v>44</v>
      </c>
      <c r="L363">
        <v>10</v>
      </c>
      <c r="M363" t="s">
        <v>1047</v>
      </c>
    </row>
    <row r="364" spans="1:13" x14ac:dyDescent="0.35">
      <c r="A364" t="s">
        <v>760</v>
      </c>
      <c r="B364" t="s">
        <v>761</v>
      </c>
      <c r="C364" t="s">
        <v>14</v>
      </c>
      <c r="D364">
        <v>18</v>
      </c>
      <c r="E364" t="s">
        <v>43</v>
      </c>
      <c r="F364" t="s">
        <v>24</v>
      </c>
      <c r="G364">
        <v>99561</v>
      </c>
      <c r="H364" t="s">
        <v>30</v>
      </c>
      <c r="I364" s="1">
        <v>42581</v>
      </c>
      <c r="J364" t="s">
        <v>39</v>
      </c>
      <c r="K364" t="s">
        <v>40</v>
      </c>
      <c r="L364">
        <v>9</v>
      </c>
      <c r="M364" t="s">
        <v>1047</v>
      </c>
    </row>
    <row r="365" spans="1:13" x14ac:dyDescent="0.35">
      <c r="A365" t="s">
        <v>762</v>
      </c>
      <c r="B365" t="s">
        <v>763</v>
      </c>
      <c r="C365" t="s">
        <v>22</v>
      </c>
      <c r="D365">
        <v>20</v>
      </c>
      <c r="E365" t="s">
        <v>37</v>
      </c>
      <c r="F365" t="s">
        <v>16</v>
      </c>
      <c r="G365">
        <v>28946</v>
      </c>
      <c r="H365" t="s">
        <v>25</v>
      </c>
      <c r="I365" s="1">
        <v>42442</v>
      </c>
      <c r="J365" t="s">
        <v>39</v>
      </c>
      <c r="K365" t="s">
        <v>44</v>
      </c>
      <c r="L365">
        <v>9</v>
      </c>
      <c r="M365" t="s">
        <v>1047</v>
      </c>
    </row>
    <row r="366" spans="1:13" x14ac:dyDescent="0.35">
      <c r="A366" t="s">
        <v>764</v>
      </c>
      <c r="B366" t="s">
        <v>765</v>
      </c>
      <c r="C366" t="s">
        <v>14</v>
      </c>
      <c r="D366">
        <v>30</v>
      </c>
      <c r="E366" t="s">
        <v>23</v>
      </c>
      <c r="F366" t="s">
        <v>33</v>
      </c>
      <c r="G366">
        <v>196572</v>
      </c>
      <c r="H366" t="s">
        <v>17</v>
      </c>
      <c r="I366" s="1">
        <v>45607</v>
      </c>
      <c r="J366" t="s">
        <v>18</v>
      </c>
      <c r="K366" t="s">
        <v>19</v>
      </c>
      <c r="L366">
        <v>1</v>
      </c>
      <c r="M366" t="s">
        <v>1044</v>
      </c>
    </row>
    <row r="367" spans="1:13" x14ac:dyDescent="0.35">
      <c r="A367" t="s">
        <v>766</v>
      </c>
      <c r="B367" t="s">
        <v>767</v>
      </c>
      <c r="C367" t="s">
        <v>14</v>
      </c>
      <c r="D367">
        <v>45</v>
      </c>
      <c r="E367" t="s">
        <v>23</v>
      </c>
      <c r="F367" t="s">
        <v>24</v>
      </c>
      <c r="G367">
        <v>36309</v>
      </c>
      <c r="H367" t="s">
        <v>17</v>
      </c>
      <c r="I367" s="1">
        <v>43773</v>
      </c>
      <c r="J367" t="s">
        <v>26</v>
      </c>
      <c r="K367" t="s">
        <v>44</v>
      </c>
      <c r="L367">
        <v>6</v>
      </c>
      <c r="M367" t="s">
        <v>1046</v>
      </c>
    </row>
    <row r="368" spans="1:13" x14ac:dyDescent="0.35">
      <c r="A368" t="s">
        <v>768</v>
      </c>
      <c r="B368" t="s">
        <v>769</v>
      </c>
      <c r="C368" t="s">
        <v>22</v>
      </c>
      <c r="D368">
        <v>74</v>
      </c>
      <c r="E368" t="s">
        <v>15</v>
      </c>
      <c r="F368" t="s">
        <v>16</v>
      </c>
      <c r="G368">
        <v>75230</v>
      </c>
      <c r="H368" t="s">
        <v>17</v>
      </c>
      <c r="I368" s="1">
        <v>43795</v>
      </c>
      <c r="J368" t="s">
        <v>55</v>
      </c>
      <c r="K368" t="s">
        <v>40</v>
      </c>
      <c r="L368">
        <v>6</v>
      </c>
      <c r="M368" t="s">
        <v>1046</v>
      </c>
    </row>
    <row r="369" spans="1:13" x14ac:dyDescent="0.35">
      <c r="A369" t="s">
        <v>770</v>
      </c>
      <c r="B369" t="s">
        <v>771</v>
      </c>
      <c r="C369" t="s">
        <v>22</v>
      </c>
      <c r="D369">
        <v>66</v>
      </c>
      <c r="E369" t="s">
        <v>37</v>
      </c>
      <c r="F369" t="s">
        <v>16</v>
      </c>
      <c r="G369">
        <v>131822</v>
      </c>
      <c r="H369" t="s">
        <v>25</v>
      </c>
      <c r="I369" s="1">
        <v>43811</v>
      </c>
      <c r="J369" t="s">
        <v>55</v>
      </c>
      <c r="K369" t="s">
        <v>34</v>
      </c>
      <c r="L369">
        <v>6</v>
      </c>
      <c r="M369" t="s">
        <v>1046</v>
      </c>
    </row>
    <row r="370" spans="1:13" x14ac:dyDescent="0.35">
      <c r="A370" t="s">
        <v>772</v>
      </c>
      <c r="B370" t="s">
        <v>773</v>
      </c>
      <c r="C370" t="s">
        <v>14</v>
      </c>
      <c r="D370">
        <v>42</v>
      </c>
      <c r="E370" t="s">
        <v>37</v>
      </c>
      <c r="F370" t="s">
        <v>47</v>
      </c>
      <c r="G370">
        <v>181099</v>
      </c>
      <c r="H370" t="s">
        <v>25</v>
      </c>
      <c r="I370" s="1">
        <v>44954</v>
      </c>
      <c r="J370" t="s">
        <v>18</v>
      </c>
      <c r="K370" t="s">
        <v>19</v>
      </c>
      <c r="L370">
        <v>2</v>
      </c>
      <c r="M370" t="s">
        <v>1044</v>
      </c>
    </row>
    <row r="371" spans="1:13" x14ac:dyDescent="0.35">
      <c r="A371" t="s">
        <v>774</v>
      </c>
      <c r="B371" t="s">
        <v>775</v>
      </c>
      <c r="C371" t="s">
        <v>14</v>
      </c>
      <c r="D371">
        <v>73</v>
      </c>
      <c r="E371" t="s">
        <v>43</v>
      </c>
      <c r="F371" t="s">
        <v>33</v>
      </c>
      <c r="G371">
        <v>132340</v>
      </c>
      <c r="H371" t="s">
        <v>17</v>
      </c>
      <c r="I371" s="1">
        <v>42545</v>
      </c>
      <c r="J371" t="s">
        <v>55</v>
      </c>
      <c r="K371" t="s">
        <v>34</v>
      </c>
      <c r="L371">
        <v>9</v>
      </c>
      <c r="M371" t="s">
        <v>1047</v>
      </c>
    </row>
    <row r="372" spans="1:13" x14ac:dyDescent="0.35">
      <c r="A372" t="s">
        <v>776</v>
      </c>
      <c r="B372" t="s">
        <v>777</v>
      </c>
      <c r="C372" t="s">
        <v>22</v>
      </c>
      <c r="D372">
        <v>50</v>
      </c>
      <c r="E372" t="s">
        <v>37</v>
      </c>
      <c r="F372" t="s">
        <v>47</v>
      </c>
      <c r="G372">
        <v>79321</v>
      </c>
      <c r="H372" t="s">
        <v>17</v>
      </c>
      <c r="I372" s="1">
        <v>43047</v>
      </c>
      <c r="J372" t="s">
        <v>26</v>
      </c>
      <c r="K372" t="s">
        <v>40</v>
      </c>
      <c r="L372">
        <v>8</v>
      </c>
      <c r="M372" t="s">
        <v>1046</v>
      </c>
    </row>
    <row r="373" spans="1:13" x14ac:dyDescent="0.35">
      <c r="A373" t="s">
        <v>778</v>
      </c>
      <c r="B373" t="s">
        <v>779</v>
      </c>
      <c r="C373" t="s">
        <v>22</v>
      </c>
      <c r="D373">
        <v>55</v>
      </c>
      <c r="E373" t="s">
        <v>37</v>
      </c>
      <c r="F373" t="s">
        <v>29</v>
      </c>
      <c r="G373">
        <v>152028</v>
      </c>
      <c r="H373" t="s">
        <v>17</v>
      </c>
      <c r="I373" s="1">
        <v>44745</v>
      </c>
      <c r="J373" t="s">
        <v>26</v>
      </c>
      <c r="K373" t="s">
        <v>34</v>
      </c>
      <c r="L373">
        <v>3</v>
      </c>
      <c r="M373" t="s">
        <v>1045</v>
      </c>
    </row>
    <row r="374" spans="1:13" x14ac:dyDescent="0.35">
      <c r="A374" t="s">
        <v>780</v>
      </c>
      <c r="B374" t="s">
        <v>781</v>
      </c>
      <c r="C374" t="s">
        <v>22</v>
      </c>
      <c r="D374">
        <v>70</v>
      </c>
      <c r="E374" t="s">
        <v>15</v>
      </c>
      <c r="F374" t="s">
        <v>47</v>
      </c>
      <c r="G374">
        <v>94131</v>
      </c>
      <c r="H374" t="s">
        <v>25</v>
      </c>
      <c r="I374" s="1">
        <v>45501</v>
      </c>
      <c r="J374" t="s">
        <v>55</v>
      </c>
      <c r="K374" t="s">
        <v>40</v>
      </c>
      <c r="L374">
        <v>1</v>
      </c>
      <c r="M374" t="s">
        <v>1044</v>
      </c>
    </row>
    <row r="375" spans="1:13" x14ac:dyDescent="0.35">
      <c r="A375" t="s">
        <v>782</v>
      </c>
      <c r="B375" t="s">
        <v>783</v>
      </c>
      <c r="C375" t="s">
        <v>22</v>
      </c>
      <c r="D375">
        <v>23</v>
      </c>
      <c r="E375" t="s">
        <v>37</v>
      </c>
      <c r="F375" t="s">
        <v>52</v>
      </c>
      <c r="G375">
        <v>198980</v>
      </c>
      <c r="H375" t="s">
        <v>25</v>
      </c>
      <c r="I375" s="1">
        <v>43750</v>
      </c>
      <c r="J375" t="s">
        <v>39</v>
      </c>
      <c r="K375" t="s">
        <v>19</v>
      </c>
      <c r="L375">
        <v>6</v>
      </c>
      <c r="M375" t="s">
        <v>1046</v>
      </c>
    </row>
    <row r="376" spans="1:13" x14ac:dyDescent="0.35">
      <c r="A376" t="s">
        <v>784</v>
      </c>
      <c r="B376" t="s">
        <v>785</v>
      </c>
      <c r="C376" t="s">
        <v>14</v>
      </c>
      <c r="D376">
        <v>61</v>
      </c>
      <c r="E376" t="s">
        <v>23</v>
      </c>
      <c r="F376" t="s">
        <v>47</v>
      </c>
      <c r="G376">
        <v>45963</v>
      </c>
      <c r="H376" t="s">
        <v>17</v>
      </c>
      <c r="I376" s="1">
        <v>44798</v>
      </c>
      <c r="J376" t="s">
        <v>55</v>
      </c>
      <c r="K376" t="s">
        <v>44</v>
      </c>
      <c r="L376">
        <v>3</v>
      </c>
      <c r="M376" t="s">
        <v>1045</v>
      </c>
    </row>
    <row r="377" spans="1:13" x14ac:dyDescent="0.35">
      <c r="A377" t="s">
        <v>786</v>
      </c>
      <c r="B377" t="s">
        <v>787</v>
      </c>
      <c r="C377" t="s">
        <v>22</v>
      </c>
      <c r="D377">
        <v>62</v>
      </c>
      <c r="E377" t="s">
        <v>15</v>
      </c>
      <c r="F377" t="s">
        <v>52</v>
      </c>
      <c r="G377">
        <v>121757</v>
      </c>
      <c r="H377" t="s">
        <v>17</v>
      </c>
      <c r="I377" s="1">
        <v>42284</v>
      </c>
      <c r="J377" t="s">
        <v>55</v>
      </c>
      <c r="K377" t="s">
        <v>34</v>
      </c>
      <c r="L377">
        <v>10</v>
      </c>
      <c r="M377" t="s">
        <v>1047</v>
      </c>
    </row>
    <row r="378" spans="1:13" x14ac:dyDescent="0.35">
      <c r="A378" t="s">
        <v>788</v>
      </c>
      <c r="B378" t="s">
        <v>789</v>
      </c>
      <c r="C378" t="s">
        <v>22</v>
      </c>
      <c r="D378">
        <v>49</v>
      </c>
      <c r="E378" t="s">
        <v>15</v>
      </c>
      <c r="F378" t="s">
        <v>24</v>
      </c>
      <c r="G378">
        <v>190515</v>
      </c>
      <c r="H378" t="s">
        <v>17</v>
      </c>
      <c r="I378" s="1">
        <v>44918</v>
      </c>
      <c r="J378" t="s">
        <v>26</v>
      </c>
      <c r="K378" t="s">
        <v>19</v>
      </c>
      <c r="L378">
        <v>3</v>
      </c>
      <c r="M378" t="s">
        <v>1045</v>
      </c>
    </row>
    <row r="379" spans="1:13" x14ac:dyDescent="0.35">
      <c r="A379" t="s">
        <v>790</v>
      </c>
      <c r="B379" t="s">
        <v>791</v>
      </c>
      <c r="C379" t="s">
        <v>14</v>
      </c>
      <c r="D379">
        <v>62</v>
      </c>
      <c r="E379" t="s">
        <v>43</v>
      </c>
      <c r="F379" t="s">
        <v>38</v>
      </c>
      <c r="G379">
        <v>119259</v>
      </c>
      <c r="H379" t="s">
        <v>30</v>
      </c>
      <c r="I379" s="1">
        <v>42731</v>
      </c>
      <c r="J379" t="s">
        <v>55</v>
      </c>
      <c r="K379" t="s">
        <v>34</v>
      </c>
      <c r="L379">
        <v>9</v>
      </c>
      <c r="M379" t="s">
        <v>1047</v>
      </c>
    </row>
    <row r="380" spans="1:13" x14ac:dyDescent="0.35">
      <c r="A380" t="s">
        <v>792</v>
      </c>
      <c r="B380" t="s">
        <v>793</v>
      </c>
      <c r="C380" t="s">
        <v>22</v>
      </c>
      <c r="D380">
        <v>64</v>
      </c>
      <c r="E380" t="s">
        <v>37</v>
      </c>
      <c r="F380" t="s">
        <v>16</v>
      </c>
      <c r="G380">
        <v>59063</v>
      </c>
      <c r="H380" t="s">
        <v>17</v>
      </c>
      <c r="I380" s="1">
        <v>44972</v>
      </c>
      <c r="J380" t="s">
        <v>55</v>
      </c>
      <c r="K380" t="s">
        <v>44</v>
      </c>
      <c r="L380">
        <v>2</v>
      </c>
      <c r="M380" t="s">
        <v>1044</v>
      </c>
    </row>
    <row r="381" spans="1:13" x14ac:dyDescent="0.35">
      <c r="A381" t="s">
        <v>794</v>
      </c>
      <c r="B381" t="s">
        <v>795</v>
      </c>
      <c r="C381" t="s">
        <v>14</v>
      </c>
      <c r="D381">
        <v>38</v>
      </c>
      <c r="E381" t="s">
        <v>43</v>
      </c>
      <c r="F381" t="s">
        <v>52</v>
      </c>
      <c r="G381">
        <v>134225</v>
      </c>
      <c r="H381" t="s">
        <v>25</v>
      </c>
      <c r="I381" s="1">
        <v>44538</v>
      </c>
      <c r="J381" t="s">
        <v>18</v>
      </c>
      <c r="K381" t="s">
        <v>34</v>
      </c>
      <c r="L381">
        <v>4</v>
      </c>
      <c r="M381" t="s">
        <v>1045</v>
      </c>
    </row>
    <row r="382" spans="1:13" x14ac:dyDescent="0.35">
      <c r="A382" t="s">
        <v>796</v>
      </c>
      <c r="B382" t="s">
        <v>797</v>
      </c>
      <c r="C382" t="s">
        <v>22</v>
      </c>
      <c r="D382">
        <v>33</v>
      </c>
      <c r="E382" t="s">
        <v>23</v>
      </c>
      <c r="F382" t="s">
        <v>33</v>
      </c>
      <c r="G382">
        <v>136400</v>
      </c>
      <c r="H382" t="s">
        <v>25</v>
      </c>
      <c r="I382" s="1">
        <v>43463</v>
      </c>
      <c r="J382" t="s">
        <v>18</v>
      </c>
      <c r="K382" t="s">
        <v>34</v>
      </c>
      <c r="L382">
        <v>7</v>
      </c>
      <c r="M382" t="s">
        <v>1046</v>
      </c>
    </row>
    <row r="383" spans="1:13" x14ac:dyDescent="0.35">
      <c r="A383" t="s">
        <v>798</v>
      </c>
      <c r="B383" t="s">
        <v>799</v>
      </c>
      <c r="C383" t="s">
        <v>22</v>
      </c>
      <c r="D383">
        <v>71</v>
      </c>
      <c r="E383" t="s">
        <v>15</v>
      </c>
      <c r="F383" t="s">
        <v>47</v>
      </c>
      <c r="G383">
        <v>100818</v>
      </c>
      <c r="H383" t="s">
        <v>17</v>
      </c>
      <c r="I383" s="1">
        <v>43995</v>
      </c>
      <c r="J383" t="s">
        <v>55</v>
      </c>
      <c r="K383" t="s">
        <v>40</v>
      </c>
      <c r="L383">
        <v>5</v>
      </c>
      <c r="M383" t="s">
        <v>1045</v>
      </c>
    </row>
    <row r="384" spans="1:13" x14ac:dyDescent="0.35">
      <c r="A384" t="s">
        <v>800</v>
      </c>
      <c r="B384" t="s">
        <v>801</v>
      </c>
      <c r="C384" t="s">
        <v>22</v>
      </c>
      <c r="D384">
        <v>38</v>
      </c>
      <c r="E384" t="s">
        <v>15</v>
      </c>
      <c r="F384" t="s">
        <v>52</v>
      </c>
      <c r="G384">
        <v>24703</v>
      </c>
      <c r="H384" t="s">
        <v>17</v>
      </c>
      <c r="I384" s="1">
        <v>44896</v>
      </c>
      <c r="J384" t="s">
        <v>18</v>
      </c>
      <c r="K384" t="s">
        <v>44</v>
      </c>
      <c r="L384">
        <v>3</v>
      </c>
      <c r="M384" t="s">
        <v>1045</v>
      </c>
    </row>
    <row r="385" spans="1:13" x14ac:dyDescent="0.35">
      <c r="A385" t="s">
        <v>802</v>
      </c>
      <c r="B385" t="s">
        <v>803</v>
      </c>
      <c r="C385" t="s">
        <v>14</v>
      </c>
      <c r="D385">
        <v>28</v>
      </c>
      <c r="E385" t="s">
        <v>15</v>
      </c>
      <c r="F385" t="s">
        <v>33</v>
      </c>
      <c r="G385">
        <v>92099</v>
      </c>
      <c r="H385" t="s">
        <v>17</v>
      </c>
      <c r="I385" s="1">
        <v>44410</v>
      </c>
      <c r="J385" t="s">
        <v>39</v>
      </c>
      <c r="K385" t="s">
        <v>40</v>
      </c>
      <c r="L385">
        <v>4</v>
      </c>
      <c r="M385" t="s">
        <v>1045</v>
      </c>
    </row>
    <row r="386" spans="1:13" x14ac:dyDescent="0.35">
      <c r="A386" t="s">
        <v>804</v>
      </c>
      <c r="B386" t="s">
        <v>805</v>
      </c>
      <c r="C386" t="s">
        <v>14</v>
      </c>
      <c r="D386">
        <v>54</v>
      </c>
      <c r="E386" t="s">
        <v>23</v>
      </c>
      <c r="F386" t="s">
        <v>38</v>
      </c>
      <c r="G386">
        <v>176921</v>
      </c>
      <c r="H386" t="s">
        <v>25</v>
      </c>
      <c r="I386" s="1">
        <v>44889</v>
      </c>
      <c r="J386" t="s">
        <v>26</v>
      </c>
      <c r="K386" t="s">
        <v>19</v>
      </c>
      <c r="L386">
        <v>3</v>
      </c>
      <c r="M386" t="s">
        <v>1045</v>
      </c>
    </row>
    <row r="387" spans="1:13" x14ac:dyDescent="0.35">
      <c r="A387" t="s">
        <v>806</v>
      </c>
      <c r="B387" t="s">
        <v>807</v>
      </c>
      <c r="C387" t="s">
        <v>22</v>
      </c>
      <c r="D387">
        <v>53</v>
      </c>
      <c r="E387" t="s">
        <v>23</v>
      </c>
      <c r="F387" t="s">
        <v>38</v>
      </c>
      <c r="G387">
        <v>182932</v>
      </c>
      <c r="H387" t="s">
        <v>25</v>
      </c>
      <c r="I387" s="1">
        <v>45157</v>
      </c>
      <c r="J387" t="s">
        <v>26</v>
      </c>
      <c r="K387" t="s">
        <v>19</v>
      </c>
      <c r="L387">
        <v>2</v>
      </c>
      <c r="M387" t="s">
        <v>1044</v>
      </c>
    </row>
    <row r="388" spans="1:13" x14ac:dyDescent="0.35">
      <c r="A388" t="s">
        <v>808</v>
      </c>
      <c r="B388" t="s">
        <v>809</v>
      </c>
      <c r="C388" t="s">
        <v>14</v>
      </c>
      <c r="D388">
        <v>52</v>
      </c>
      <c r="E388" t="s">
        <v>43</v>
      </c>
      <c r="F388" t="s">
        <v>47</v>
      </c>
      <c r="G388">
        <v>51585</v>
      </c>
      <c r="H388" t="s">
        <v>25</v>
      </c>
      <c r="I388" s="1">
        <v>43577</v>
      </c>
      <c r="J388" t="s">
        <v>26</v>
      </c>
      <c r="K388" t="s">
        <v>44</v>
      </c>
      <c r="L388">
        <v>6</v>
      </c>
      <c r="M388" t="s">
        <v>1046</v>
      </c>
    </row>
    <row r="389" spans="1:13" x14ac:dyDescent="0.35">
      <c r="A389" t="s">
        <v>810</v>
      </c>
      <c r="B389" t="s">
        <v>811</v>
      </c>
      <c r="C389" t="s">
        <v>14</v>
      </c>
      <c r="D389">
        <v>36</v>
      </c>
      <c r="E389" t="s">
        <v>43</v>
      </c>
      <c r="F389" t="s">
        <v>29</v>
      </c>
      <c r="G389">
        <v>173087</v>
      </c>
      <c r="H389" t="s">
        <v>17</v>
      </c>
      <c r="I389" s="1">
        <v>43947</v>
      </c>
      <c r="J389" t="s">
        <v>18</v>
      </c>
      <c r="K389" t="s">
        <v>19</v>
      </c>
      <c r="L389">
        <v>5</v>
      </c>
      <c r="M389" t="s">
        <v>1045</v>
      </c>
    </row>
    <row r="390" spans="1:13" x14ac:dyDescent="0.35">
      <c r="A390" t="s">
        <v>812</v>
      </c>
      <c r="B390" t="s">
        <v>813</v>
      </c>
      <c r="C390" t="s">
        <v>14</v>
      </c>
      <c r="D390">
        <v>37</v>
      </c>
      <c r="E390" t="s">
        <v>43</v>
      </c>
      <c r="F390" t="s">
        <v>47</v>
      </c>
      <c r="G390">
        <v>63585</v>
      </c>
      <c r="H390" t="s">
        <v>17</v>
      </c>
      <c r="I390" s="1">
        <v>42757</v>
      </c>
      <c r="J390" t="s">
        <v>18</v>
      </c>
      <c r="K390" t="s">
        <v>44</v>
      </c>
      <c r="L390">
        <v>8</v>
      </c>
      <c r="M390" t="s">
        <v>1046</v>
      </c>
    </row>
    <row r="391" spans="1:13" x14ac:dyDescent="0.35">
      <c r="A391" t="s">
        <v>814</v>
      </c>
      <c r="B391" t="s">
        <v>815</v>
      </c>
      <c r="C391" t="s">
        <v>14</v>
      </c>
      <c r="D391">
        <v>74</v>
      </c>
      <c r="E391" t="s">
        <v>37</v>
      </c>
      <c r="F391" t="s">
        <v>24</v>
      </c>
      <c r="G391">
        <v>46958</v>
      </c>
      <c r="H391" t="s">
        <v>30</v>
      </c>
      <c r="I391" s="1">
        <v>44220</v>
      </c>
      <c r="J391" t="s">
        <v>55</v>
      </c>
      <c r="K391" t="s">
        <v>44</v>
      </c>
      <c r="L391">
        <v>4</v>
      </c>
      <c r="M391" t="s">
        <v>1045</v>
      </c>
    </row>
    <row r="392" spans="1:13" x14ac:dyDescent="0.35">
      <c r="A392" t="s">
        <v>816</v>
      </c>
      <c r="B392" t="s">
        <v>817</v>
      </c>
      <c r="C392" t="s">
        <v>14</v>
      </c>
      <c r="D392">
        <v>35</v>
      </c>
      <c r="E392" t="s">
        <v>15</v>
      </c>
      <c r="F392" t="s">
        <v>52</v>
      </c>
      <c r="G392">
        <v>46017</v>
      </c>
      <c r="H392" t="s">
        <v>25</v>
      </c>
      <c r="I392" s="1">
        <v>42931</v>
      </c>
      <c r="J392" t="s">
        <v>18</v>
      </c>
      <c r="K392" t="s">
        <v>44</v>
      </c>
      <c r="L392">
        <v>8</v>
      </c>
      <c r="M392" t="s">
        <v>1046</v>
      </c>
    </row>
    <row r="393" spans="1:13" x14ac:dyDescent="0.35">
      <c r="A393" t="s">
        <v>818</v>
      </c>
      <c r="B393" t="s">
        <v>819</v>
      </c>
      <c r="C393" t="s">
        <v>14</v>
      </c>
      <c r="D393">
        <v>64</v>
      </c>
      <c r="E393" t="s">
        <v>15</v>
      </c>
      <c r="F393" t="s">
        <v>16</v>
      </c>
      <c r="G393">
        <v>144677</v>
      </c>
      <c r="H393" t="s">
        <v>17</v>
      </c>
      <c r="I393" s="1">
        <v>43422</v>
      </c>
      <c r="J393" t="s">
        <v>55</v>
      </c>
      <c r="K393" t="s">
        <v>34</v>
      </c>
      <c r="L393">
        <v>7</v>
      </c>
      <c r="M393" t="s">
        <v>1046</v>
      </c>
    </row>
    <row r="394" spans="1:13" x14ac:dyDescent="0.35">
      <c r="A394" t="s">
        <v>820</v>
      </c>
      <c r="B394" t="s">
        <v>821</v>
      </c>
      <c r="C394" t="s">
        <v>22</v>
      </c>
      <c r="D394">
        <v>58</v>
      </c>
      <c r="E394" t="s">
        <v>43</v>
      </c>
      <c r="F394" t="s">
        <v>29</v>
      </c>
      <c r="G394">
        <v>196422</v>
      </c>
      <c r="H394" t="s">
        <v>30</v>
      </c>
      <c r="I394" s="1">
        <v>44545</v>
      </c>
      <c r="J394" t="s">
        <v>26</v>
      </c>
      <c r="K394" t="s">
        <v>19</v>
      </c>
      <c r="L394">
        <v>4</v>
      </c>
      <c r="M394" t="s">
        <v>1045</v>
      </c>
    </row>
    <row r="395" spans="1:13" x14ac:dyDescent="0.35">
      <c r="A395" t="s">
        <v>822</v>
      </c>
      <c r="B395" t="s">
        <v>823</v>
      </c>
      <c r="C395" t="s">
        <v>22</v>
      </c>
      <c r="D395">
        <v>66</v>
      </c>
      <c r="E395" t="s">
        <v>15</v>
      </c>
      <c r="F395" t="s">
        <v>47</v>
      </c>
      <c r="G395">
        <v>163273</v>
      </c>
      <c r="H395" t="s">
        <v>25</v>
      </c>
      <c r="I395" s="1">
        <v>42384</v>
      </c>
      <c r="J395" t="s">
        <v>55</v>
      </c>
      <c r="K395" t="s">
        <v>19</v>
      </c>
      <c r="L395">
        <v>9</v>
      </c>
      <c r="M395" t="s">
        <v>1047</v>
      </c>
    </row>
    <row r="396" spans="1:13" x14ac:dyDescent="0.35">
      <c r="A396" t="s">
        <v>824</v>
      </c>
      <c r="B396" t="s">
        <v>825</v>
      </c>
      <c r="C396" t="s">
        <v>14</v>
      </c>
      <c r="D396">
        <v>31</v>
      </c>
      <c r="E396" t="s">
        <v>43</v>
      </c>
      <c r="F396" t="s">
        <v>33</v>
      </c>
      <c r="G396">
        <v>49426</v>
      </c>
      <c r="H396" t="s">
        <v>17</v>
      </c>
      <c r="I396" s="1">
        <v>45372</v>
      </c>
      <c r="J396" t="s">
        <v>18</v>
      </c>
      <c r="K396" t="s">
        <v>44</v>
      </c>
      <c r="L396">
        <v>1</v>
      </c>
      <c r="M396" t="s">
        <v>1044</v>
      </c>
    </row>
    <row r="397" spans="1:13" x14ac:dyDescent="0.35">
      <c r="A397" t="s">
        <v>826</v>
      </c>
      <c r="B397" t="s">
        <v>827</v>
      </c>
      <c r="C397" t="s">
        <v>22</v>
      </c>
      <c r="D397">
        <v>32</v>
      </c>
      <c r="E397" t="s">
        <v>37</v>
      </c>
      <c r="F397" t="s">
        <v>29</v>
      </c>
      <c r="G397">
        <v>37778</v>
      </c>
      <c r="H397" t="s">
        <v>25</v>
      </c>
      <c r="I397" s="1">
        <v>44714</v>
      </c>
      <c r="J397" t="s">
        <v>18</v>
      </c>
      <c r="K397" t="s">
        <v>44</v>
      </c>
      <c r="L397">
        <v>3</v>
      </c>
      <c r="M397" t="s">
        <v>1045</v>
      </c>
    </row>
    <row r="398" spans="1:13" x14ac:dyDescent="0.35">
      <c r="A398" t="s">
        <v>828</v>
      </c>
      <c r="B398" t="s">
        <v>829</v>
      </c>
      <c r="C398" t="s">
        <v>22</v>
      </c>
      <c r="D398">
        <v>48</v>
      </c>
      <c r="E398" t="s">
        <v>37</v>
      </c>
      <c r="F398" t="s">
        <v>52</v>
      </c>
      <c r="G398">
        <v>196313</v>
      </c>
      <c r="H398" t="s">
        <v>25</v>
      </c>
      <c r="I398" s="1">
        <v>44176</v>
      </c>
      <c r="J398" t="s">
        <v>26</v>
      </c>
      <c r="K398" t="s">
        <v>19</v>
      </c>
      <c r="L398">
        <v>5</v>
      </c>
      <c r="M398" t="s">
        <v>1045</v>
      </c>
    </row>
    <row r="399" spans="1:13" x14ac:dyDescent="0.35">
      <c r="A399" t="s">
        <v>830</v>
      </c>
      <c r="B399" t="s">
        <v>831</v>
      </c>
      <c r="C399" t="s">
        <v>22</v>
      </c>
      <c r="D399">
        <v>18</v>
      </c>
      <c r="E399" t="s">
        <v>23</v>
      </c>
      <c r="F399" t="s">
        <v>29</v>
      </c>
      <c r="G399">
        <v>62229</v>
      </c>
      <c r="H399" t="s">
        <v>25</v>
      </c>
      <c r="I399" s="1">
        <v>45160</v>
      </c>
      <c r="J399" t="s">
        <v>39</v>
      </c>
      <c r="K399" t="s">
        <v>44</v>
      </c>
      <c r="L399">
        <v>2</v>
      </c>
      <c r="M399" t="s">
        <v>1044</v>
      </c>
    </row>
    <row r="400" spans="1:13" x14ac:dyDescent="0.35">
      <c r="A400" t="s">
        <v>832</v>
      </c>
      <c r="B400" t="s">
        <v>833</v>
      </c>
      <c r="C400" t="s">
        <v>22</v>
      </c>
      <c r="D400">
        <v>70</v>
      </c>
      <c r="E400" t="s">
        <v>37</v>
      </c>
      <c r="F400" t="s">
        <v>52</v>
      </c>
      <c r="G400">
        <v>106652</v>
      </c>
      <c r="H400" t="s">
        <v>17</v>
      </c>
      <c r="I400" s="1">
        <v>45702</v>
      </c>
      <c r="J400" t="s">
        <v>55</v>
      </c>
      <c r="K400" t="s">
        <v>40</v>
      </c>
      <c r="L400">
        <v>0</v>
      </c>
      <c r="M400" t="s">
        <v>1044</v>
      </c>
    </row>
    <row r="401" spans="1:13" x14ac:dyDescent="0.35">
      <c r="A401" t="s">
        <v>834</v>
      </c>
      <c r="B401" t="s">
        <v>835</v>
      </c>
      <c r="C401" t="s">
        <v>14</v>
      </c>
      <c r="D401">
        <v>71</v>
      </c>
      <c r="E401" t="s">
        <v>43</v>
      </c>
      <c r="F401" t="s">
        <v>47</v>
      </c>
      <c r="G401">
        <v>148267</v>
      </c>
      <c r="H401" t="s">
        <v>17</v>
      </c>
      <c r="I401" s="1">
        <v>42789</v>
      </c>
      <c r="J401" t="s">
        <v>55</v>
      </c>
      <c r="K401" t="s">
        <v>34</v>
      </c>
      <c r="L401">
        <v>8</v>
      </c>
      <c r="M401" t="s">
        <v>1046</v>
      </c>
    </row>
    <row r="402" spans="1:13" x14ac:dyDescent="0.35">
      <c r="A402" t="s">
        <v>836</v>
      </c>
      <c r="B402" t="s">
        <v>837</v>
      </c>
      <c r="C402" t="s">
        <v>22</v>
      </c>
      <c r="D402">
        <v>71</v>
      </c>
      <c r="E402" t="s">
        <v>37</v>
      </c>
      <c r="F402" t="s">
        <v>52</v>
      </c>
      <c r="G402">
        <v>199436</v>
      </c>
      <c r="H402" t="s">
        <v>30</v>
      </c>
      <c r="I402" s="1">
        <v>44100</v>
      </c>
      <c r="J402" t="s">
        <v>55</v>
      </c>
      <c r="K402" t="s">
        <v>19</v>
      </c>
      <c r="L402">
        <v>5</v>
      </c>
      <c r="M402" t="s">
        <v>1045</v>
      </c>
    </row>
    <row r="403" spans="1:13" x14ac:dyDescent="0.35">
      <c r="A403" t="s">
        <v>838</v>
      </c>
      <c r="B403" t="s">
        <v>839</v>
      </c>
      <c r="C403" t="s">
        <v>22</v>
      </c>
      <c r="D403">
        <v>20</v>
      </c>
      <c r="E403" t="s">
        <v>23</v>
      </c>
      <c r="F403" t="s">
        <v>29</v>
      </c>
      <c r="G403">
        <v>146503</v>
      </c>
      <c r="H403" t="s">
        <v>17</v>
      </c>
      <c r="I403" s="1">
        <v>44310</v>
      </c>
      <c r="J403" t="s">
        <v>39</v>
      </c>
      <c r="K403" t="s">
        <v>34</v>
      </c>
      <c r="L403">
        <v>4</v>
      </c>
      <c r="M403" t="s">
        <v>1045</v>
      </c>
    </row>
    <row r="404" spans="1:13" x14ac:dyDescent="0.35">
      <c r="A404" t="s">
        <v>840</v>
      </c>
      <c r="B404" t="s">
        <v>841</v>
      </c>
      <c r="C404" t="s">
        <v>14</v>
      </c>
      <c r="D404">
        <v>33</v>
      </c>
      <c r="E404" t="s">
        <v>15</v>
      </c>
      <c r="F404" t="s">
        <v>33</v>
      </c>
      <c r="G404">
        <v>104878</v>
      </c>
      <c r="H404" t="s">
        <v>17</v>
      </c>
      <c r="I404" s="1">
        <v>43523</v>
      </c>
      <c r="J404" t="s">
        <v>18</v>
      </c>
      <c r="K404" t="s">
        <v>40</v>
      </c>
      <c r="L404">
        <v>6</v>
      </c>
      <c r="M404" t="s">
        <v>1046</v>
      </c>
    </row>
    <row r="405" spans="1:13" x14ac:dyDescent="0.35">
      <c r="A405" t="s">
        <v>842</v>
      </c>
      <c r="B405" t="s">
        <v>843</v>
      </c>
      <c r="C405" t="s">
        <v>14</v>
      </c>
      <c r="D405">
        <v>40</v>
      </c>
      <c r="E405" t="s">
        <v>43</v>
      </c>
      <c r="F405" t="s">
        <v>38</v>
      </c>
      <c r="G405">
        <v>77056</v>
      </c>
      <c r="H405" t="s">
        <v>17</v>
      </c>
      <c r="I405" s="1">
        <v>44268</v>
      </c>
      <c r="J405" t="s">
        <v>18</v>
      </c>
      <c r="K405" t="s">
        <v>40</v>
      </c>
      <c r="L405">
        <v>4</v>
      </c>
      <c r="M405" t="s">
        <v>1045</v>
      </c>
    </row>
    <row r="406" spans="1:13" x14ac:dyDescent="0.35">
      <c r="A406" t="s">
        <v>844</v>
      </c>
      <c r="B406" t="s">
        <v>845</v>
      </c>
      <c r="C406" t="s">
        <v>22</v>
      </c>
      <c r="D406">
        <v>74</v>
      </c>
      <c r="E406" t="s">
        <v>15</v>
      </c>
      <c r="F406" t="s">
        <v>29</v>
      </c>
      <c r="G406">
        <v>178562</v>
      </c>
      <c r="H406" t="s">
        <v>17</v>
      </c>
      <c r="I406" s="1">
        <v>45246</v>
      </c>
      <c r="J406" t="s">
        <v>55</v>
      </c>
      <c r="K406" t="s">
        <v>19</v>
      </c>
      <c r="L406">
        <v>2</v>
      </c>
      <c r="M406" t="s">
        <v>1044</v>
      </c>
    </row>
    <row r="407" spans="1:13" x14ac:dyDescent="0.35">
      <c r="A407" t="s">
        <v>846</v>
      </c>
      <c r="B407" t="s">
        <v>847</v>
      </c>
      <c r="C407" t="s">
        <v>22</v>
      </c>
      <c r="D407">
        <v>28</v>
      </c>
      <c r="E407" t="s">
        <v>23</v>
      </c>
      <c r="F407" t="s">
        <v>52</v>
      </c>
      <c r="G407">
        <v>39975</v>
      </c>
      <c r="H407" t="s">
        <v>25</v>
      </c>
      <c r="I407" s="1">
        <v>44902</v>
      </c>
      <c r="J407" t="s">
        <v>39</v>
      </c>
      <c r="K407" t="s">
        <v>44</v>
      </c>
      <c r="L407">
        <v>3</v>
      </c>
      <c r="M407" t="s">
        <v>1045</v>
      </c>
    </row>
    <row r="408" spans="1:13" x14ac:dyDescent="0.35">
      <c r="A408" t="s">
        <v>848</v>
      </c>
      <c r="B408" t="s">
        <v>849</v>
      </c>
      <c r="C408" t="s">
        <v>22</v>
      </c>
      <c r="D408">
        <v>29</v>
      </c>
      <c r="E408" t="s">
        <v>23</v>
      </c>
      <c r="F408" t="s">
        <v>38</v>
      </c>
      <c r="G408">
        <v>177795</v>
      </c>
      <c r="H408" t="s">
        <v>30</v>
      </c>
      <c r="I408" s="1">
        <v>43097</v>
      </c>
      <c r="J408" t="s">
        <v>18</v>
      </c>
      <c r="K408" t="s">
        <v>19</v>
      </c>
      <c r="L408">
        <v>8</v>
      </c>
      <c r="M408" t="s">
        <v>1046</v>
      </c>
    </row>
    <row r="409" spans="1:13" x14ac:dyDescent="0.35">
      <c r="A409" t="s">
        <v>850</v>
      </c>
      <c r="B409" t="s">
        <v>851</v>
      </c>
      <c r="C409" t="s">
        <v>22</v>
      </c>
      <c r="D409">
        <v>27</v>
      </c>
      <c r="E409" t="s">
        <v>23</v>
      </c>
      <c r="F409" t="s">
        <v>52</v>
      </c>
      <c r="G409">
        <v>174351</v>
      </c>
      <c r="H409" t="s">
        <v>17</v>
      </c>
      <c r="I409" s="1">
        <v>42571</v>
      </c>
      <c r="J409" t="s">
        <v>39</v>
      </c>
      <c r="K409" t="s">
        <v>19</v>
      </c>
      <c r="L409">
        <v>9</v>
      </c>
      <c r="M409" t="s">
        <v>1047</v>
      </c>
    </row>
    <row r="410" spans="1:13" x14ac:dyDescent="0.35">
      <c r="A410" t="s">
        <v>852</v>
      </c>
      <c r="B410" t="s">
        <v>853</v>
      </c>
      <c r="C410" t="s">
        <v>22</v>
      </c>
      <c r="D410">
        <v>49</v>
      </c>
      <c r="E410" t="s">
        <v>15</v>
      </c>
      <c r="F410" t="s">
        <v>33</v>
      </c>
      <c r="G410">
        <v>162633</v>
      </c>
      <c r="H410" t="s">
        <v>17</v>
      </c>
      <c r="I410" s="1">
        <v>43721</v>
      </c>
      <c r="J410" t="s">
        <v>26</v>
      </c>
      <c r="K410" t="s">
        <v>19</v>
      </c>
      <c r="L410">
        <v>6</v>
      </c>
      <c r="M410" t="s">
        <v>1046</v>
      </c>
    </row>
    <row r="411" spans="1:13" x14ac:dyDescent="0.35">
      <c r="A411" t="s">
        <v>854</v>
      </c>
      <c r="B411" t="s">
        <v>855</v>
      </c>
      <c r="C411" t="s">
        <v>22</v>
      </c>
      <c r="D411">
        <v>33</v>
      </c>
      <c r="E411" t="s">
        <v>15</v>
      </c>
      <c r="F411" t="s">
        <v>52</v>
      </c>
      <c r="G411">
        <v>108397</v>
      </c>
      <c r="H411" t="s">
        <v>17</v>
      </c>
      <c r="I411" s="1">
        <v>42587</v>
      </c>
      <c r="J411" t="s">
        <v>18</v>
      </c>
      <c r="K411" t="s">
        <v>40</v>
      </c>
      <c r="L411">
        <v>9</v>
      </c>
      <c r="M411" t="s">
        <v>1047</v>
      </c>
    </row>
    <row r="412" spans="1:13" x14ac:dyDescent="0.35">
      <c r="A412" t="s">
        <v>856</v>
      </c>
      <c r="B412" t="s">
        <v>857</v>
      </c>
      <c r="C412" t="s">
        <v>14</v>
      </c>
      <c r="D412">
        <v>25</v>
      </c>
      <c r="E412" t="s">
        <v>15</v>
      </c>
      <c r="F412" t="s">
        <v>47</v>
      </c>
      <c r="G412">
        <v>53142</v>
      </c>
      <c r="H412" t="s">
        <v>25</v>
      </c>
      <c r="I412" s="1">
        <v>43411</v>
      </c>
      <c r="J412" t="s">
        <v>39</v>
      </c>
      <c r="K412" t="s">
        <v>44</v>
      </c>
      <c r="L412">
        <v>7</v>
      </c>
      <c r="M412" t="s">
        <v>1046</v>
      </c>
    </row>
    <row r="413" spans="1:13" x14ac:dyDescent="0.35">
      <c r="A413" t="s">
        <v>858</v>
      </c>
      <c r="B413" t="s">
        <v>859</v>
      </c>
      <c r="C413" t="s">
        <v>22</v>
      </c>
      <c r="D413">
        <v>55</v>
      </c>
      <c r="E413" t="s">
        <v>15</v>
      </c>
      <c r="F413" t="s">
        <v>16</v>
      </c>
      <c r="G413">
        <v>46916</v>
      </c>
      <c r="H413" t="s">
        <v>25</v>
      </c>
      <c r="I413" s="1">
        <v>45608</v>
      </c>
      <c r="J413" t="s">
        <v>26</v>
      </c>
      <c r="K413" t="s">
        <v>44</v>
      </c>
      <c r="L413">
        <v>1</v>
      </c>
      <c r="M413" t="s">
        <v>1044</v>
      </c>
    </row>
    <row r="414" spans="1:13" x14ac:dyDescent="0.35">
      <c r="A414" t="s">
        <v>860</v>
      </c>
      <c r="B414" t="s">
        <v>861</v>
      </c>
      <c r="C414" t="s">
        <v>22</v>
      </c>
      <c r="D414">
        <v>29</v>
      </c>
      <c r="E414" t="s">
        <v>23</v>
      </c>
      <c r="F414" t="s">
        <v>29</v>
      </c>
      <c r="G414">
        <v>84324</v>
      </c>
      <c r="H414" t="s">
        <v>17</v>
      </c>
      <c r="I414" s="1">
        <v>44965</v>
      </c>
      <c r="J414" t="s">
        <v>18</v>
      </c>
      <c r="K414" t="s">
        <v>40</v>
      </c>
      <c r="L414">
        <v>2</v>
      </c>
      <c r="M414" t="s">
        <v>1044</v>
      </c>
    </row>
    <row r="415" spans="1:13" x14ac:dyDescent="0.35">
      <c r="A415" t="s">
        <v>862</v>
      </c>
      <c r="B415" t="s">
        <v>863</v>
      </c>
      <c r="C415" t="s">
        <v>14</v>
      </c>
      <c r="D415">
        <v>41</v>
      </c>
      <c r="E415" t="s">
        <v>23</v>
      </c>
      <c r="F415" t="s">
        <v>16</v>
      </c>
      <c r="G415">
        <v>196037</v>
      </c>
      <c r="H415" t="s">
        <v>25</v>
      </c>
      <c r="I415" s="1">
        <v>42457</v>
      </c>
      <c r="J415" t="s">
        <v>18</v>
      </c>
      <c r="K415" t="s">
        <v>19</v>
      </c>
      <c r="L415">
        <v>9</v>
      </c>
      <c r="M415" t="s">
        <v>1047</v>
      </c>
    </row>
    <row r="416" spans="1:13" x14ac:dyDescent="0.35">
      <c r="A416" t="s">
        <v>864</v>
      </c>
      <c r="B416" t="s">
        <v>865</v>
      </c>
      <c r="C416" t="s">
        <v>14</v>
      </c>
      <c r="D416">
        <v>45</v>
      </c>
      <c r="E416" t="s">
        <v>43</v>
      </c>
      <c r="F416" t="s">
        <v>52</v>
      </c>
      <c r="G416">
        <v>145932</v>
      </c>
      <c r="H416" t="s">
        <v>25</v>
      </c>
      <c r="I416" s="1">
        <v>45884</v>
      </c>
      <c r="J416" t="s">
        <v>26</v>
      </c>
      <c r="K416" t="s">
        <v>34</v>
      </c>
      <c r="L416">
        <v>0</v>
      </c>
      <c r="M416" t="s">
        <v>1044</v>
      </c>
    </row>
    <row r="417" spans="1:13" x14ac:dyDescent="0.35">
      <c r="A417" t="s">
        <v>866</v>
      </c>
      <c r="B417" t="s">
        <v>867</v>
      </c>
      <c r="C417" t="s">
        <v>14</v>
      </c>
      <c r="D417">
        <v>70</v>
      </c>
      <c r="E417" t="s">
        <v>43</v>
      </c>
      <c r="F417" t="s">
        <v>33</v>
      </c>
      <c r="G417">
        <v>155720</v>
      </c>
      <c r="H417" t="s">
        <v>25</v>
      </c>
      <c r="I417" s="1">
        <v>43022</v>
      </c>
      <c r="J417" t="s">
        <v>55</v>
      </c>
      <c r="K417" t="s">
        <v>19</v>
      </c>
      <c r="L417">
        <v>8</v>
      </c>
      <c r="M417" t="s">
        <v>1046</v>
      </c>
    </row>
    <row r="418" spans="1:13" x14ac:dyDescent="0.35">
      <c r="A418" t="s">
        <v>868</v>
      </c>
      <c r="B418" t="s">
        <v>869</v>
      </c>
      <c r="C418" t="s">
        <v>14</v>
      </c>
      <c r="D418">
        <v>25</v>
      </c>
      <c r="E418" t="s">
        <v>15</v>
      </c>
      <c r="F418" t="s">
        <v>29</v>
      </c>
      <c r="G418">
        <v>186205</v>
      </c>
      <c r="H418" t="s">
        <v>30</v>
      </c>
      <c r="I418" s="1">
        <v>45595</v>
      </c>
      <c r="J418" t="s">
        <v>39</v>
      </c>
      <c r="K418" t="s">
        <v>19</v>
      </c>
      <c r="L418">
        <v>1</v>
      </c>
      <c r="M418" t="s">
        <v>1044</v>
      </c>
    </row>
    <row r="419" spans="1:13" x14ac:dyDescent="0.35">
      <c r="A419" t="s">
        <v>870</v>
      </c>
      <c r="B419" t="s">
        <v>871</v>
      </c>
      <c r="C419" t="s">
        <v>22</v>
      </c>
      <c r="D419">
        <v>45</v>
      </c>
      <c r="E419" t="s">
        <v>37</v>
      </c>
      <c r="F419" t="s">
        <v>52</v>
      </c>
      <c r="G419">
        <v>116059</v>
      </c>
      <c r="H419" t="s">
        <v>17</v>
      </c>
      <c r="I419" s="1">
        <v>43432</v>
      </c>
      <c r="J419" t="s">
        <v>26</v>
      </c>
      <c r="K419" t="s">
        <v>34</v>
      </c>
      <c r="L419">
        <v>7</v>
      </c>
      <c r="M419" t="s">
        <v>1046</v>
      </c>
    </row>
    <row r="420" spans="1:13" x14ac:dyDescent="0.35">
      <c r="A420" t="s">
        <v>872</v>
      </c>
      <c r="B420" t="s">
        <v>873</v>
      </c>
      <c r="C420" t="s">
        <v>22</v>
      </c>
      <c r="D420">
        <v>53</v>
      </c>
      <c r="E420" t="s">
        <v>37</v>
      </c>
      <c r="F420" t="s">
        <v>38</v>
      </c>
      <c r="G420">
        <v>118317</v>
      </c>
      <c r="H420" t="s">
        <v>25</v>
      </c>
      <c r="I420" s="1">
        <v>42802</v>
      </c>
      <c r="J420" t="s">
        <v>26</v>
      </c>
      <c r="K420" t="s">
        <v>34</v>
      </c>
      <c r="L420">
        <v>8</v>
      </c>
      <c r="M420" t="s">
        <v>1046</v>
      </c>
    </row>
    <row r="421" spans="1:13" x14ac:dyDescent="0.35">
      <c r="A421" t="s">
        <v>874</v>
      </c>
      <c r="B421" t="s">
        <v>875</v>
      </c>
      <c r="C421" t="s">
        <v>22</v>
      </c>
      <c r="D421">
        <v>43</v>
      </c>
      <c r="E421" t="s">
        <v>23</v>
      </c>
      <c r="F421" t="s">
        <v>24</v>
      </c>
      <c r="G421">
        <v>55046</v>
      </c>
      <c r="H421" t="s">
        <v>17</v>
      </c>
      <c r="I421" s="1">
        <v>44313</v>
      </c>
      <c r="J421" t="s">
        <v>18</v>
      </c>
      <c r="K421" t="s">
        <v>44</v>
      </c>
      <c r="L421">
        <v>4</v>
      </c>
      <c r="M421" t="s">
        <v>1045</v>
      </c>
    </row>
    <row r="422" spans="1:13" x14ac:dyDescent="0.35">
      <c r="A422" t="s">
        <v>876</v>
      </c>
      <c r="B422" t="s">
        <v>877</v>
      </c>
      <c r="C422" t="s">
        <v>22</v>
      </c>
      <c r="D422">
        <v>25</v>
      </c>
      <c r="E422" t="s">
        <v>23</v>
      </c>
      <c r="F422" t="s">
        <v>52</v>
      </c>
      <c r="G422">
        <v>198136</v>
      </c>
      <c r="H422" t="s">
        <v>25</v>
      </c>
      <c r="I422" s="1">
        <v>42565</v>
      </c>
      <c r="J422" t="s">
        <v>39</v>
      </c>
      <c r="K422" t="s">
        <v>19</v>
      </c>
      <c r="L422">
        <v>9</v>
      </c>
      <c r="M422" t="s">
        <v>1047</v>
      </c>
    </row>
    <row r="423" spans="1:13" x14ac:dyDescent="0.35">
      <c r="A423" t="s">
        <v>878</v>
      </c>
      <c r="B423" t="s">
        <v>879</v>
      </c>
      <c r="C423" t="s">
        <v>22</v>
      </c>
      <c r="D423">
        <v>67</v>
      </c>
      <c r="E423" t="s">
        <v>23</v>
      </c>
      <c r="F423" t="s">
        <v>16</v>
      </c>
      <c r="G423">
        <v>121459</v>
      </c>
      <c r="H423" t="s">
        <v>25</v>
      </c>
      <c r="I423" s="1">
        <v>44523</v>
      </c>
      <c r="J423" t="s">
        <v>55</v>
      </c>
      <c r="K423" t="s">
        <v>34</v>
      </c>
      <c r="L423">
        <v>4</v>
      </c>
      <c r="M423" t="s">
        <v>1045</v>
      </c>
    </row>
    <row r="424" spans="1:13" x14ac:dyDescent="0.35">
      <c r="A424" t="s">
        <v>880</v>
      </c>
      <c r="B424" t="s">
        <v>881</v>
      </c>
      <c r="C424" t="s">
        <v>22</v>
      </c>
      <c r="D424">
        <v>45</v>
      </c>
      <c r="E424" t="s">
        <v>43</v>
      </c>
      <c r="F424" t="s">
        <v>29</v>
      </c>
      <c r="G424">
        <v>65893</v>
      </c>
      <c r="H424" t="s">
        <v>25</v>
      </c>
      <c r="I424" s="1">
        <v>44513</v>
      </c>
      <c r="J424" t="s">
        <v>26</v>
      </c>
      <c r="K424" t="s">
        <v>40</v>
      </c>
      <c r="L424">
        <v>4</v>
      </c>
      <c r="M424" t="s">
        <v>1045</v>
      </c>
    </row>
    <row r="425" spans="1:13" x14ac:dyDescent="0.35">
      <c r="A425" t="s">
        <v>882</v>
      </c>
      <c r="B425" t="s">
        <v>881</v>
      </c>
      <c r="C425" t="s">
        <v>14</v>
      </c>
      <c r="D425">
        <v>45</v>
      </c>
      <c r="E425" t="s">
        <v>43</v>
      </c>
      <c r="F425" t="s">
        <v>16</v>
      </c>
      <c r="G425">
        <v>121520</v>
      </c>
      <c r="H425" t="s">
        <v>25</v>
      </c>
      <c r="I425" s="1">
        <v>44111</v>
      </c>
      <c r="J425" t="s">
        <v>26</v>
      </c>
      <c r="K425" t="s">
        <v>34</v>
      </c>
      <c r="L425">
        <v>5</v>
      </c>
      <c r="M425" t="s">
        <v>1045</v>
      </c>
    </row>
    <row r="426" spans="1:13" x14ac:dyDescent="0.35">
      <c r="A426" t="s">
        <v>883</v>
      </c>
      <c r="B426" t="s">
        <v>884</v>
      </c>
      <c r="C426" t="s">
        <v>22</v>
      </c>
      <c r="D426">
        <v>54</v>
      </c>
      <c r="E426" t="s">
        <v>23</v>
      </c>
      <c r="F426" t="s">
        <v>29</v>
      </c>
      <c r="G426">
        <v>145818</v>
      </c>
      <c r="H426" t="s">
        <v>17</v>
      </c>
      <c r="I426" s="1">
        <v>42917</v>
      </c>
      <c r="J426" t="s">
        <v>26</v>
      </c>
      <c r="K426" t="s">
        <v>34</v>
      </c>
      <c r="L426">
        <v>8</v>
      </c>
      <c r="M426" t="s">
        <v>1046</v>
      </c>
    </row>
    <row r="427" spans="1:13" x14ac:dyDescent="0.35">
      <c r="A427" t="s">
        <v>885</v>
      </c>
      <c r="B427" t="s">
        <v>886</v>
      </c>
      <c r="C427" t="s">
        <v>14</v>
      </c>
      <c r="D427">
        <v>58</v>
      </c>
      <c r="E427" t="s">
        <v>23</v>
      </c>
      <c r="F427" t="s">
        <v>52</v>
      </c>
      <c r="G427">
        <v>81272</v>
      </c>
      <c r="H427" t="s">
        <v>17</v>
      </c>
      <c r="I427" s="1">
        <v>42747</v>
      </c>
      <c r="J427" t="s">
        <v>26</v>
      </c>
      <c r="K427" t="s">
        <v>40</v>
      </c>
      <c r="L427">
        <v>8</v>
      </c>
      <c r="M427" t="s">
        <v>1046</v>
      </c>
    </row>
    <row r="428" spans="1:13" x14ac:dyDescent="0.35">
      <c r="A428" t="s">
        <v>887</v>
      </c>
      <c r="B428" t="s">
        <v>888</v>
      </c>
      <c r="C428" t="s">
        <v>14</v>
      </c>
      <c r="D428">
        <v>53</v>
      </c>
      <c r="E428" t="s">
        <v>23</v>
      </c>
      <c r="F428" t="s">
        <v>47</v>
      </c>
      <c r="G428">
        <v>87649</v>
      </c>
      <c r="H428" t="s">
        <v>30</v>
      </c>
      <c r="I428" s="1">
        <v>45052</v>
      </c>
      <c r="J428" t="s">
        <v>26</v>
      </c>
      <c r="K428" t="s">
        <v>40</v>
      </c>
      <c r="L428">
        <v>2</v>
      </c>
      <c r="M428" t="s">
        <v>1044</v>
      </c>
    </row>
    <row r="429" spans="1:13" x14ac:dyDescent="0.35">
      <c r="A429" t="s">
        <v>889</v>
      </c>
      <c r="B429" t="s">
        <v>890</v>
      </c>
      <c r="C429" t="s">
        <v>22</v>
      </c>
      <c r="D429">
        <v>44</v>
      </c>
      <c r="E429" t="s">
        <v>37</v>
      </c>
      <c r="F429" t="s">
        <v>38</v>
      </c>
      <c r="G429">
        <v>84674</v>
      </c>
      <c r="H429" t="s">
        <v>30</v>
      </c>
      <c r="I429" s="1">
        <v>43617</v>
      </c>
      <c r="J429" t="s">
        <v>18</v>
      </c>
      <c r="K429" t="s">
        <v>40</v>
      </c>
      <c r="L429">
        <v>6</v>
      </c>
      <c r="M429" t="s">
        <v>1046</v>
      </c>
    </row>
    <row r="430" spans="1:13" x14ac:dyDescent="0.35">
      <c r="A430" t="s">
        <v>891</v>
      </c>
      <c r="B430" t="s">
        <v>892</v>
      </c>
      <c r="C430" t="s">
        <v>14</v>
      </c>
      <c r="D430">
        <v>71</v>
      </c>
      <c r="E430" t="s">
        <v>43</v>
      </c>
      <c r="F430" t="s">
        <v>52</v>
      </c>
      <c r="G430">
        <v>164832</v>
      </c>
      <c r="H430" t="s">
        <v>17</v>
      </c>
      <c r="I430" s="1">
        <v>42971</v>
      </c>
      <c r="J430" t="s">
        <v>55</v>
      </c>
      <c r="K430" t="s">
        <v>19</v>
      </c>
      <c r="L430">
        <v>8</v>
      </c>
      <c r="M430" t="s">
        <v>1046</v>
      </c>
    </row>
    <row r="431" spans="1:13" x14ac:dyDescent="0.35">
      <c r="A431" t="s">
        <v>893</v>
      </c>
      <c r="B431" t="s">
        <v>894</v>
      </c>
      <c r="C431" t="s">
        <v>22</v>
      </c>
      <c r="D431">
        <v>34</v>
      </c>
      <c r="E431" t="s">
        <v>37</v>
      </c>
      <c r="F431" t="s">
        <v>16</v>
      </c>
      <c r="G431">
        <v>172999</v>
      </c>
      <c r="H431" t="s">
        <v>17</v>
      </c>
      <c r="I431" s="1">
        <v>42894</v>
      </c>
      <c r="J431" t="s">
        <v>18</v>
      </c>
      <c r="K431" t="s">
        <v>19</v>
      </c>
      <c r="L431">
        <v>8</v>
      </c>
      <c r="M431" t="s">
        <v>1046</v>
      </c>
    </row>
    <row r="432" spans="1:13" x14ac:dyDescent="0.35">
      <c r="A432" t="s">
        <v>895</v>
      </c>
      <c r="B432" t="s">
        <v>896</v>
      </c>
      <c r="C432" t="s">
        <v>14</v>
      </c>
      <c r="D432">
        <v>26</v>
      </c>
      <c r="E432" t="s">
        <v>37</v>
      </c>
      <c r="F432" t="s">
        <v>24</v>
      </c>
      <c r="G432">
        <v>106475</v>
      </c>
      <c r="H432" t="s">
        <v>17</v>
      </c>
      <c r="I432" s="1">
        <v>45133</v>
      </c>
      <c r="J432" t="s">
        <v>39</v>
      </c>
      <c r="K432" t="s">
        <v>40</v>
      </c>
      <c r="L432">
        <v>2</v>
      </c>
      <c r="M432" t="s">
        <v>1044</v>
      </c>
    </row>
    <row r="433" spans="1:13" x14ac:dyDescent="0.35">
      <c r="A433" t="s">
        <v>897</v>
      </c>
      <c r="B433" t="s">
        <v>898</v>
      </c>
      <c r="C433" t="s">
        <v>22</v>
      </c>
      <c r="D433">
        <v>50</v>
      </c>
      <c r="E433" t="s">
        <v>23</v>
      </c>
      <c r="F433" t="s">
        <v>24</v>
      </c>
      <c r="G433">
        <v>81367</v>
      </c>
      <c r="H433" t="s">
        <v>25</v>
      </c>
      <c r="I433" s="1">
        <v>42887</v>
      </c>
      <c r="J433" t="s">
        <v>26</v>
      </c>
      <c r="K433" t="s">
        <v>40</v>
      </c>
      <c r="L433">
        <v>8</v>
      </c>
      <c r="M433" t="s">
        <v>1046</v>
      </c>
    </row>
    <row r="434" spans="1:13" x14ac:dyDescent="0.35">
      <c r="A434" t="s">
        <v>899</v>
      </c>
      <c r="B434" t="s">
        <v>900</v>
      </c>
      <c r="C434" t="s">
        <v>14</v>
      </c>
      <c r="D434">
        <v>70</v>
      </c>
      <c r="E434" t="s">
        <v>23</v>
      </c>
      <c r="F434" t="s">
        <v>33</v>
      </c>
      <c r="G434">
        <v>163660</v>
      </c>
      <c r="H434" t="s">
        <v>25</v>
      </c>
      <c r="I434" s="1">
        <v>43774</v>
      </c>
      <c r="J434" t="s">
        <v>55</v>
      </c>
      <c r="K434" t="s">
        <v>19</v>
      </c>
      <c r="L434">
        <v>6</v>
      </c>
      <c r="M434" t="s">
        <v>1046</v>
      </c>
    </row>
    <row r="435" spans="1:13" x14ac:dyDescent="0.35">
      <c r="A435" t="s">
        <v>901</v>
      </c>
      <c r="B435" t="s">
        <v>902</v>
      </c>
      <c r="C435" t="s">
        <v>22</v>
      </c>
      <c r="D435">
        <v>37</v>
      </c>
      <c r="E435" t="s">
        <v>15</v>
      </c>
      <c r="F435" t="s">
        <v>29</v>
      </c>
      <c r="G435">
        <v>141750</v>
      </c>
      <c r="H435" t="s">
        <v>17</v>
      </c>
      <c r="I435" s="1">
        <v>43599</v>
      </c>
      <c r="J435" t="s">
        <v>18</v>
      </c>
      <c r="K435" t="s">
        <v>34</v>
      </c>
      <c r="L435">
        <v>6</v>
      </c>
      <c r="M435" t="s">
        <v>1046</v>
      </c>
    </row>
    <row r="436" spans="1:13" x14ac:dyDescent="0.35">
      <c r="A436" t="s">
        <v>903</v>
      </c>
      <c r="B436" t="s">
        <v>904</v>
      </c>
      <c r="C436" t="s">
        <v>22</v>
      </c>
      <c r="D436">
        <v>30</v>
      </c>
      <c r="E436" t="s">
        <v>15</v>
      </c>
      <c r="F436" t="s">
        <v>16</v>
      </c>
      <c r="G436">
        <v>138154</v>
      </c>
      <c r="H436" t="s">
        <v>17</v>
      </c>
      <c r="I436" s="1">
        <v>44896</v>
      </c>
      <c r="J436" t="s">
        <v>18</v>
      </c>
      <c r="K436" t="s">
        <v>34</v>
      </c>
      <c r="L436">
        <v>3</v>
      </c>
      <c r="M436" t="s">
        <v>1045</v>
      </c>
    </row>
    <row r="437" spans="1:13" x14ac:dyDescent="0.35">
      <c r="A437" t="s">
        <v>905</v>
      </c>
      <c r="B437" t="s">
        <v>906</v>
      </c>
      <c r="C437" t="s">
        <v>22</v>
      </c>
      <c r="D437">
        <v>45</v>
      </c>
      <c r="E437" t="s">
        <v>37</v>
      </c>
      <c r="F437" t="s">
        <v>33</v>
      </c>
      <c r="G437">
        <v>64738</v>
      </c>
      <c r="H437" t="s">
        <v>25</v>
      </c>
      <c r="I437" s="1">
        <v>43760</v>
      </c>
      <c r="J437" t="s">
        <v>26</v>
      </c>
      <c r="K437" t="s">
        <v>44</v>
      </c>
      <c r="L437">
        <v>6</v>
      </c>
      <c r="M437" t="s">
        <v>1046</v>
      </c>
    </row>
    <row r="438" spans="1:13" x14ac:dyDescent="0.35">
      <c r="A438" t="s">
        <v>907</v>
      </c>
      <c r="B438" t="s">
        <v>908</v>
      </c>
      <c r="C438" t="s">
        <v>22</v>
      </c>
      <c r="D438">
        <v>65</v>
      </c>
      <c r="E438" t="s">
        <v>43</v>
      </c>
      <c r="F438" t="s">
        <v>16</v>
      </c>
      <c r="G438">
        <v>53397</v>
      </c>
      <c r="H438" t="s">
        <v>25</v>
      </c>
      <c r="I438" s="1">
        <v>45281</v>
      </c>
      <c r="J438" t="s">
        <v>55</v>
      </c>
      <c r="K438" t="s">
        <v>44</v>
      </c>
      <c r="L438">
        <v>2</v>
      </c>
      <c r="M438" t="s">
        <v>1044</v>
      </c>
    </row>
    <row r="439" spans="1:13" x14ac:dyDescent="0.35">
      <c r="A439" t="s">
        <v>909</v>
      </c>
      <c r="B439" t="s">
        <v>910</v>
      </c>
      <c r="C439" t="s">
        <v>22</v>
      </c>
      <c r="D439">
        <v>46</v>
      </c>
      <c r="E439" t="s">
        <v>23</v>
      </c>
      <c r="F439" t="s">
        <v>29</v>
      </c>
      <c r="G439">
        <v>102189</v>
      </c>
      <c r="H439" t="s">
        <v>17</v>
      </c>
      <c r="I439" s="1">
        <v>45037</v>
      </c>
      <c r="J439" t="s">
        <v>26</v>
      </c>
      <c r="K439" t="s">
        <v>40</v>
      </c>
      <c r="L439">
        <v>2</v>
      </c>
      <c r="M439" t="s">
        <v>1044</v>
      </c>
    </row>
    <row r="440" spans="1:13" x14ac:dyDescent="0.35">
      <c r="A440" t="s">
        <v>911</v>
      </c>
      <c r="B440" t="s">
        <v>912</v>
      </c>
      <c r="C440" t="s">
        <v>14</v>
      </c>
      <c r="D440">
        <v>30</v>
      </c>
      <c r="E440" t="s">
        <v>23</v>
      </c>
      <c r="F440" t="s">
        <v>52</v>
      </c>
      <c r="G440">
        <v>96367</v>
      </c>
      <c r="H440" t="s">
        <v>17</v>
      </c>
      <c r="I440" s="1">
        <v>45328</v>
      </c>
      <c r="J440" t="s">
        <v>18</v>
      </c>
      <c r="K440" t="s">
        <v>40</v>
      </c>
      <c r="L440">
        <v>1</v>
      </c>
      <c r="M440" t="s">
        <v>1044</v>
      </c>
    </row>
    <row r="441" spans="1:13" x14ac:dyDescent="0.35">
      <c r="A441" t="s">
        <v>913</v>
      </c>
      <c r="B441" t="s">
        <v>914</v>
      </c>
      <c r="C441" t="s">
        <v>14</v>
      </c>
      <c r="D441">
        <v>63</v>
      </c>
      <c r="E441" t="s">
        <v>37</v>
      </c>
      <c r="F441" t="s">
        <v>52</v>
      </c>
      <c r="G441">
        <v>140585</v>
      </c>
      <c r="H441" t="s">
        <v>17</v>
      </c>
      <c r="I441" s="1">
        <v>43274</v>
      </c>
      <c r="J441" t="s">
        <v>55</v>
      </c>
      <c r="K441" t="s">
        <v>34</v>
      </c>
      <c r="L441">
        <v>7</v>
      </c>
      <c r="M441" t="s">
        <v>1046</v>
      </c>
    </row>
    <row r="442" spans="1:13" x14ac:dyDescent="0.35">
      <c r="A442" t="s">
        <v>915</v>
      </c>
      <c r="B442" t="s">
        <v>916</v>
      </c>
      <c r="C442" t="s">
        <v>14</v>
      </c>
      <c r="D442">
        <v>52</v>
      </c>
      <c r="E442" t="s">
        <v>15</v>
      </c>
      <c r="F442" t="s">
        <v>24</v>
      </c>
      <c r="G442">
        <v>96619</v>
      </c>
      <c r="H442" t="s">
        <v>17</v>
      </c>
      <c r="I442" s="1">
        <v>44964</v>
      </c>
      <c r="J442" t="s">
        <v>26</v>
      </c>
      <c r="K442" t="s">
        <v>40</v>
      </c>
      <c r="L442">
        <v>2</v>
      </c>
      <c r="M442" t="s">
        <v>1044</v>
      </c>
    </row>
    <row r="443" spans="1:13" x14ac:dyDescent="0.35">
      <c r="A443" t="s">
        <v>917</v>
      </c>
      <c r="B443" t="s">
        <v>918</v>
      </c>
      <c r="C443" t="s">
        <v>22</v>
      </c>
      <c r="D443">
        <v>23</v>
      </c>
      <c r="E443" t="s">
        <v>43</v>
      </c>
      <c r="F443" t="s">
        <v>52</v>
      </c>
      <c r="G443">
        <v>131453</v>
      </c>
      <c r="H443" t="s">
        <v>17</v>
      </c>
      <c r="I443" s="1">
        <v>44692</v>
      </c>
      <c r="J443" t="s">
        <v>39</v>
      </c>
      <c r="K443" t="s">
        <v>34</v>
      </c>
      <c r="L443">
        <v>3</v>
      </c>
      <c r="M443" t="s">
        <v>1045</v>
      </c>
    </row>
    <row r="444" spans="1:13" x14ac:dyDescent="0.35">
      <c r="A444" t="s">
        <v>919</v>
      </c>
      <c r="B444" t="s">
        <v>920</v>
      </c>
      <c r="C444" t="s">
        <v>14</v>
      </c>
      <c r="D444">
        <v>35</v>
      </c>
      <c r="E444" t="s">
        <v>15</v>
      </c>
      <c r="F444" t="s">
        <v>52</v>
      </c>
      <c r="G444">
        <v>39816</v>
      </c>
      <c r="H444" t="s">
        <v>25</v>
      </c>
      <c r="I444" s="1">
        <v>43285</v>
      </c>
      <c r="J444" t="s">
        <v>18</v>
      </c>
      <c r="K444" t="s">
        <v>44</v>
      </c>
      <c r="L444">
        <v>7</v>
      </c>
      <c r="M444" t="s">
        <v>1046</v>
      </c>
    </row>
    <row r="445" spans="1:13" x14ac:dyDescent="0.35">
      <c r="A445" t="s">
        <v>921</v>
      </c>
      <c r="B445" t="s">
        <v>922</v>
      </c>
      <c r="C445" t="s">
        <v>22</v>
      </c>
      <c r="D445">
        <v>68</v>
      </c>
      <c r="E445" t="s">
        <v>15</v>
      </c>
      <c r="F445" t="s">
        <v>47</v>
      </c>
      <c r="G445">
        <v>193312</v>
      </c>
      <c r="H445" t="s">
        <v>25</v>
      </c>
      <c r="I445" s="1">
        <v>43074</v>
      </c>
      <c r="J445" t="s">
        <v>55</v>
      </c>
      <c r="K445" t="s">
        <v>19</v>
      </c>
      <c r="L445">
        <v>8</v>
      </c>
      <c r="M445" t="s">
        <v>1046</v>
      </c>
    </row>
    <row r="446" spans="1:13" x14ac:dyDescent="0.35">
      <c r="A446" t="s">
        <v>923</v>
      </c>
      <c r="B446" t="s">
        <v>924</v>
      </c>
      <c r="C446" t="s">
        <v>22</v>
      </c>
      <c r="D446">
        <v>22</v>
      </c>
      <c r="E446" t="s">
        <v>15</v>
      </c>
      <c r="F446" t="s">
        <v>24</v>
      </c>
      <c r="G446">
        <v>157348</v>
      </c>
      <c r="H446" t="s">
        <v>25</v>
      </c>
      <c r="I446" s="1">
        <v>44666</v>
      </c>
      <c r="J446" t="s">
        <v>39</v>
      </c>
      <c r="K446" t="s">
        <v>19</v>
      </c>
      <c r="L446">
        <v>3</v>
      </c>
      <c r="M446" t="s">
        <v>1045</v>
      </c>
    </row>
    <row r="447" spans="1:13" x14ac:dyDescent="0.35">
      <c r="A447" t="s">
        <v>925</v>
      </c>
      <c r="B447" t="s">
        <v>926</v>
      </c>
      <c r="C447" t="s">
        <v>14</v>
      </c>
      <c r="D447">
        <v>64</v>
      </c>
      <c r="E447" t="s">
        <v>15</v>
      </c>
      <c r="F447" t="s">
        <v>33</v>
      </c>
      <c r="G447">
        <v>99530</v>
      </c>
      <c r="H447" t="s">
        <v>25</v>
      </c>
      <c r="I447" s="1">
        <v>44459</v>
      </c>
      <c r="J447" t="s">
        <v>55</v>
      </c>
      <c r="K447" t="s">
        <v>40</v>
      </c>
      <c r="L447">
        <v>4</v>
      </c>
      <c r="M447" t="s">
        <v>1045</v>
      </c>
    </row>
    <row r="448" spans="1:13" x14ac:dyDescent="0.35">
      <c r="A448" t="s">
        <v>927</v>
      </c>
      <c r="B448" t="s">
        <v>928</v>
      </c>
      <c r="C448" t="s">
        <v>14</v>
      </c>
      <c r="D448">
        <v>42</v>
      </c>
      <c r="E448" t="s">
        <v>23</v>
      </c>
      <c r="F448" t="s">
        <v>38</v>
      </c>
      <c r="G448">
        <v>174571</v>
      </c>
      <c r="H448" t="s">
        <v>17</v>
      </c>
      <c r="I448" s="1">
        <v>44994</v>
      </c>
      <c r="J448" t="s">
        <v>18</v>
      </c>
      <c r="K448" t="s">
        <v>19</v>
      </c>
      <c r="L448">
        <v>2</v>
      </c>
      <c r="M448" t="s">
        <v>1044</v>
      </c>
    </row>
    <row r="449" spans="1:13" x14ac:dyDescent="0.35">
      <c r="A449" t="s">
        <v>929</v>
      </c>
      <c r="B449" t="s">
        <v>930</v>
      </c>
      <c r="C449" t="s">
        <v>22</v>
      </c>
      <c r="D449">
        <v>19</v>
      </c>
      <c r="E449" t="s">
        <v>23</v>
      </c>
      <c r="F449" t="s">
        <v>47</v>
      </c>
      <c r="G449">
        <v>128856</v>
      </c>
      <c r="H449" t="s">
        <v>17</v>
      </c>
      <c r="I449" s="1">
        <v>44493</v>
      </c>
      <c r="J449" t="s">
        <v>39</v>
      </c>
      <c r="K449" t="s">
        <v>34</v>
      </c>
      <c r="L449">
        <v>4</v>
      </c>
      <c r="M449" t="s">
        <v>1045</v>
      </c>
    </row>
    <row r="450" spans="1:13" x14ac:dyDescent="0.35">
      <c r="A450" t="s">
        <v>931</v>
      </c>
      <c r="B450" t="s">
        <v>932</v>
      </c>
      <c r="C450" t="s">
        <v>14</v>
      </c>
      <c r="D450">
        <v>27</v>
      </c>
      <c r="E450" t="s">
        <v>15</v>
      </c>
      <c r="F450" t="s">
        <v>33</v>
      </c>
      <c r="G450">
        <v>91635</v>
      </c>
      <c r="H450" t="s">
        <v>17</v>
      </c>
      <c r="I450" s="1">
        <v>44032</v>
      </c>
      <c r="J450" t="s">
        <v>39</v>
      </c>
      <c r="K450" t="s">
        <v>40</v>
      </c>
      <c r="L450">
        <v>5</v>
      </c>
      <c r="M450" t="s">
        <v>1045</v>
      </c>
    </row>
    <row r="451" spans="1:13" x14ac:dyDescent="0.35">
      <c r="A451" t="s">
        <v>933</v>
      </c>
      <c r="B451" t="s">
        <v>934</v>
      </c>
      <c r="C451" t="s">
        <v>22</v>
      </c>
      <c r="D451">
        <v>73</v>
      </c>
      <c r="E451" t="s">
        <v>43</v>
      </c>
      <c r="F451" t="s">
        <v>29</v>
      </c>
      <c r="G451">
        <v>127803</v>
      </c>
      <c r="H451" t="s">
        <v>17</v>
      </c>
      <c r="I451" s="1">
        <v>45486</v>
      </c>
      <c r="J451" t="s">
        <v>55</v>
      </c>
      <c r="K451" t="s">
        <v>34</v>
      </c>
      <c r="L451">
        <v>1</v>
      </c>
      <c r="M451" t="s">
        <v>1044</v>
      </c>
    </row>
    <row r="452" spans="1:13" x14ac:dyDescent="0.35">
      <c r="A452" t="s">
        <v>935</v>
      </c>
      <c r="B452" t="s">
        <v>936</v>
      </c>
      <c r="C452" t="s">
        <v>22</v>
      </c>
      <c r="D452">
        <v>47</v>
      </c>
      <c r="E452" t="s">
        <v>37</v>
      </c>
      <c r="F452" t="s">
        <v>47</v>
      </c>
      <c r="G452">
        <v>55946</v>
      </c>
      <c r="H452" t="s">
        <v>25</v>
      </c>
      <c r="I452" s="1">
        <v>42580</v>
      </c>
      <c r="J452" t="s">
        <v>26</v>
      </c>
      <c r="K452" t="s">
        <v>44</v>
      </c>
      <c r="L452">
        <v>9</v>
      </c>
      <c r="M452" t="s">
        <v>1047</v>
      </c>
    </row>
    <row r="453" spans="1:13" x14ac:dyDescent="0.35">
      <c r="A453" t="s">
        <v>937</v>
      </c>
      <c r="B453" t="s">
        <v>938</v>
      </c>
      <c r="C453" t="s">
        <v>22</v>
      </c>
      <c r="D453">
        <v>67</v>
      </c>
      <c r="E453" t="s">
        <v>43</v>
      </c>
      <c r="F453" t="s">
        <v>33</v>
      </c>
      <c r="G453">
        <v>75204</v>
      </c>
      <c r="H453" t="s">
        <v>30</v>
      </c>
      <c r="I453" s="1">
        <v>45412</v>
      </c>
      <c r="J453" t="s">
        <v>55</v>
      </c>
      <c r="K453" t="s">
        <v>40</v>
      </c>
      <c r="L453">
        <v>1</v>
      </c>
      <c r="M453" t="s">
        <v>1044</v>
      </c>
    </row>
    <row r="454" spans="1:13" x14ac:dyDescent="0.35">
      <c r="A454" t="s">
        <v>939</v>
      </c>
      <c r="B454" t="s">
        <v>940</v>
      </c>
      <c r="C454" t="s">
        <v>22</v>
      </c>
      <c r="D454">
        <v>62</v>
      </c>
      <c r="E454" t="s">
        <v>43</v>
      </c>
      <c r="F454" t="s">
        <v>29</v>
      </c>
      <c r="G454">
        <v>35563</v>
      </c>
      <c r="H454" t="s">
        <v>17</v>
      </c>
      <c r="I454" s="1">
        <v>43669</v>
      </c>
      <c r="J454" t="s">
        <v>55</v>
      </c>
      <c r="K454" t="s">
        <v>44</v>
      </c>
      <c r="L454">
        <v>6</v>
      </c>
      <c r="M454" t="s">
        <v>1046</v>
      </c>
    </row>
    <row r="455" spans="1:13" x14ac:dyDescent="0.35">
      <c r="A455" t="s">
        <v>941</v>
      </c>
      <c r="B455" t="s">
        <v>942</v>
      </c>
      <c r="C455" t="s">
        <v>22</v>
      </c>
      <c r="D455">
        <v>22</v>
      </c>
      <c r="E455" t="s">
        <v>43</v>
      </c>
      <c r="F455" t="s">
        <v>24</v>
      </c>
      <c r="G455">
        <v>112324</v>
      </c>
      <c r="H455" t="s">
        <v>17</v>
      </c>
      <c r="I455" s="1">
        <v>43074</v>
      </c>
      <c r="J455" t="s">
        <v>39</v>
      </c>
      <c r="K455" t="s">
        <v>34</v>
      </c>
      <c r="L455">
        <v>8</v>
      </c>
      <c r="M455" t="s">
        <v>1046</v>
      </c>
    </row>
    <row r="456" spans="1:13" x14ac:dyDescent="0.35">
      <c r="A456" t="s">
        <v>943</v>
      </c>
      <c r="B456" t="s">
        <v>944</v>
      </c>
      <c r="C456" t="s">
        <v>14</v>
      </c>
      <c r="D456">
        <v>72</v>
      </c>
      <c r="E456" t="s">
        <v>15</v>
      </c>
      <c r="F456" t="s">
        <v>38</v>
      </c>
      <c r="G456">
        <v>29847</v>
      </c>
      <c r="H456" t="s">
        <v>25</v>
      </c>
      <c r="I456" s="1">
        <v>44557</v>
      </c>
      <c r="J456" t="s">
        <v>55</v>
      </c>
      <c r="K456" t="s">
        <v>44</v>
      </c>
      <c r="L456">
        <v>4</v>
      </c>
      <c r="M456" t="s">
        <v>1045</v>
      </c>
    </row>
    <row r="457" spans="1:13" x14ac:dyDescent="0.35">
      <c r="A457" t="s">
        <v>945</v>
      </c>
      <c r="B457" t="s">
        <v>946</v>
      </c>
      <c r="C457" t="s">
        <v>14</v>
      </c>
      <c r="D457">
        <v>73</v>
      </c>
      <c r="E457" t="s">
        <v>23</v>
      </c>
      <c r="F457" t="s">
        <v>29</v>
      </c>
      <c r="G457">
        <v>46155</v>
      </c>
      <c r="H457" t="s">
        <v>17</v>
      </c>
      <c r="I457" s="1">
        <v>42386</v>
      </c>
      <c r="J457" t="s">
        <v>55</v>
      </c>
      <c r="K457" t="s">
        <v>44</v>
      </c>
      <c r="L457">
        <v>9</v>
      </c>
      <c r="M457" t="s">
        <v>1047</v>
      </c>
    </row>
    <row r="458" spans="1:13" x14ac:dyDescent="0.35">
      <c r="A458" t="s">
        <v>947</v>
      </c>
      <c r="B458" t="s">
        <v>948</v>
      </c>
      <c r="C458" t="s">
        <v>22</v>
      </c>
      <c r="D458">
        <v>50</v>
      </c>
      <c r="E458" t="s">
        <v>43</v>
      </c>
      <c r="F458" t="s">
        <v>52</v>
      </c>
      <c r="G458">
        <v>99671</v>
      </c>
      <c r="H458" t="s">
        <v>17</v>
      </c>
      <c r="I458" s="1">
        <v>42416</v>
      </c>
      <c r="J458" t="s">
        <v>26</v>
      </c>
      <c r="K458" t="s">
        <v>40</v>
      </c>
      <c r="L458">
        <v>9</v>
      </c>
      <c r="M458" t="s">
        <v>1047</v>
      </c>
    </row>
    <row r="459" spans="1:13" x14ac:dyDescent="0.35">
      <c r="A459" t="s">
        <v>949</v>
      </c>
      <c r="B459" t="s">
        <v>950</v>
      </c>
      <c r="C459" t="s">
        <v>22</v>
      </c>
      <c r="D459">
        <v>71</v>
      </c>
      <c r="E459" t="s">
        <v>15</v>
      </c>
      <c r="F459" t="s">
        <v>16</v>
      </c>
      <c r="G459">
        <v>136891</v>
      </c>
      <c r="H459" t="s">
        <v>25</v>
      </c>
      <c r="I459" s="1">
        <v>45469</v>
      </c>
      <c r="J459" t="s">
        <v>55</v>
      </c>
      <c r="K459" t="s">
        <v>34</v>
      </c>
      <c r="L459">
        <v>1</v>
      </c>
      <c r="M459" t="s">
        <v>1044</v>
      </c>
    </row>
    <row r="460" spans="1:13" x14ac:dyDescent="0.35">
      <c r="A460" t="s">
        <v>951</v>
      </c>
      <c r="B460" t="s">
        <v>952</v>
      </c>
      <c r="C460" t="s">
        <v>14</v>
      </c>
      <c r="D460">
        <v>18</v>
      </c>
      <c r="E460" t="s">
        <v>43</v>
      </c>
      <c r="F460" t="s">
        <v>29</v>
      </c>
      <c r="G460">
        <v>103310</v>
      </c>
      <c r="H460" t="s">
        <v>25</v>
      </c>
      <c r="I460" s="1">
        <v>43849</v>
      </c>
      <c r="J460" t="s">
        <v>39</v>
      </c>
      <c r="K460" t="s">
        <v>40</v>
      </c>
      <c r="L460">
        <v>5</v>
      </c>
      <c r="M460" t="s">
        <v>1045</v>
      </c>
    </row>
    <row r="461" spans="1:13" x14ac:dyDescent="0.35">
      <c r="A461" t="s">
        <v>953</v>
      </c>
      <c r="B461" t="s">
        <v>954</v>
      </c>
      <c r="C461" t="s">
        <v>14</v>
      </c>
      <c r="D461">
        <v>35</v>
      </c>
      <c r="E461" t="s">
        <v>43</v>
      </c>
      <c r="F461" t="s">
        <v>29</v>
      </c>
      <c r="G461">
        <v>169381</v>
      </c>
      <c r="H461" t="s">
        <v>17</v>
      </c>
      <c r="I461" s="1">
        <v>44357</v>
      </c>
      <c r="J461" t="s">
        <v>18</v>
      </c>
      <c r="K461" t="s">
        <v>19</v>
      </c>
      <c r="L461">
        <v>4</v>
      </c>
      <c r="M461" t="s">
        <v>1045</v>
      </c>
    </row>
    <row r="462" spans="1:13" x14ac:dyDescent="0.35">
      <c r="A462" t="s">
        <v>955</v>
      </c>
      <c r="B462" t="s">
        <v>956</v>
      </c>
      <c r="C462" t="s">
        <v>22</v>
      </c>
      <c r="D462">
        <v>49</v>
      </c>
      <c r="E462" t="s">
        <v>15</v>
      </c>
      <c r="F462" t="s">
        <v>38</v>
      </c>
      <c r="G462">
        <v>151691</v>
      </c>
      <c r="H462" t="s">
        <v>17</v>
      </c>
      <c r="I462" s="1">
        <v>43401</v>
      </c>
      <c r="J462" t="s">
        <v>26</v>
      </c>
      <c r="K462" t="s">
        <v>34</v>
      </c>
      <c r="L462">
        <v>7</v>
      </c>
      <c r="M462" t="s">
        <v>1046</v>
      </c>
    </row>
    <row r="463" spans="1:13" x14ac:dyDescent="0.35">
      <c r="A463" t="s">
        <v>957</v>
      </c>
      <c r="B463" t="s">
        <v>958</v>
      </c>
      <c r="C463" t="s">
        <v>14</v>
      </c>
      <c r="D463">
        <v>64</v>
      </c>
      <c r="E463" t="s">
        <v>23</v>
      </c>
      <c r="F463" t="s">
        <v>16</v>
      </c>
      <c r="G463">
        <v>54707</v>
      </c>
      <c r="H463" t="s">
        <v>25</v>
      </c>
      <c r="I463" s="1">
        <v>43726</v>
      </c>
      <c r="J463" t="s">
        <v>55</v>
      </c>
      <c r="K463" t="s">
        <v>44</v>
      </c>
      <c r="L463">
        <v>6</v>
      </c>
      <c r="M463" t="s">
        <v>1046</v>
      </c>
    </row>
    <row r="464" spans="1:13" x14ac:dyDescent="0.35">
      <c r="A464" t="s">
        <v>959</v>
      </c>
      <c r="B464" t="s">
        <v>960</v>
      </c>
      <c r="C464" t="s">
        <v>22</v>
      </c>
      <c r="D464">
        <v>66</v>
      </c>
      <c r="E464" t="s">
        <v>23</v>
      </c>
      <c r="F464" t="s">
        <v>52</v>
      </c>
      <c r="G464">
        <v>171409</v>
      </c>
      <c r="H464" t="s">
        <v>17</v>
      </c>
      <c r="I464" s="1">
        <v>45484</v>
      </c>
      <c r="J464" t="s">
        <v>55</v>
      </c>
      <c r="K464" t="s">
        <v>19</v>
      </c>
      <c r="L464">
        <v>1</v>
      </c>
      <c r="M464" t="s">
        <v>1044</v>
      </c>
    </row>
    <row r="465" spans="1:13" x14ac:dyDescent="0.35">
      <c r="A465" t="s">
        <v>961</v>
      </c>
      <c r="B465" t="s">
        <v>962</v>
      </c>
      <c r="C465" t="s">
        <v>14</v>
      </c>
      <c r="D465">
        <v>28</v>
      </c>
      <c r="E465" t="s">
        <v>37</v>
      </c>
      <c r="F465" t="s">
        <v>33</v>
      </c>
      <c r="G465">
        <v>101537</v>
      </c>
      <c r="H465" t="s">
        <v>17</v>
      </c>
      <c r="I465" s="1">
        <v>43028</v>
      </c>
      <c r="J465" t="s">
        <v>39</v>
      </c>
      <c r="K465" t="s">
        <v>40</v>
      </c>
      <c r="L465">
        <v>8</v>
      </c>
      <c r="M465" t="s">
        <v>1046</v>
      </c>
    </row>
    <row r="466" spans="1:13" x14ac:dyDescent="0.35">
      <c r="A466" t="s">
        <v>963</v>
      </c>
      <c r="B466" t="s">
        <v>964</v>
      </c>
      <c r="C466" t="s">
        <v>22</v>
      </c>
      <c r="D466">
        <v>38</v>
      </c>
      <c r="E466" t="s">
        <v>15</v>
      </c>
      <c r="F466" t="s">
        <v>33</v>
      </c>
      <c r="G466">
        <v>198686</v>
      </c>
      <c r="H466" t="s">
        <v>25</v>
      </c>
      <c r="I466" s="1">
        <v>45801</v>
      </c>
      <c r="J466" t="s">
        <v>18</v>
      </c>
      <c r="K466" t="s">
        <v>19</v>
      </c>
      <c r="L466">
        <v>0</v>
      </c>
      <c r="M466" t="s">
        <v>1044</v>
      </c>
    </row>
    <row r="467" spans="1:13" x14ac:dyDescent="0.35">
      <c r="A467" t="s">
        <v>965</v>
      </c>
      <c r="B467" t="s">
        <v>966</v>
      </c>
      <c r="C467" t="s">
        <v>14</v>
      </c>
      <c r="D467">
        <v>43</v>
      </c>
      <c r="E467" t="s">
        <v>37</v>
      </c>
      <c r="F467" t="s">
        <v>29</v>
      </c>
      <c r="G467">
        <v>111155</v>
      </c>
      <c r="H467" t="s">
        <v>17</v>
      </c>
      <c r="I467" s="1">
        <v>44745</v>
      </c>
      <c r="J467" t="s">
        <v>18</v>
      </c>
      <c r="K467" t="s">
        <v>34</v>
      </c>
      <c r="L467">
        <v>3</v>
      </c>
      <c r="M467" t="s">
        <v>1045</v>
      </c>
    </row>
    <row r="468" spans="1:13" x14ac:dyDescent="0.35">
      <c r="A468" t="s">
        <v>967</v>
      </c>
      <c r="B468" t="s">
        <v>968</v>
      </c>
      <c r="C468" t="s">
        <v>22</v>
      </c>
      <c r="D468">
        <v>42</v>
      </c>
      <c r="E468" t="s">
        <v>37</v>
      </c>
      <c r="F468" t="s">
        <v>16</v>
      </c>
      <c r="G468">
        <v>20281</v>
      </c>
      <c r="H468" t="s">
        <v>25</v>
      </c>
      <c r="I468" s="1">
        <v>44498</v>
      </c>
      <c r="J468" t="s">
        <v>18</v>
      </c>
      <c r="K468" t="s">
        <v>44</v>
      </c>
      <c r="L468">
        <v>4</v>
      </c>
      <c r="M468" t="s">
        <v>1045</v>
      </c>
    </row>
    <row r="469" spans="1:13" x14ac:dyDescent="0.35">
      <c r="A469" t="s">
        <v>969</v>
      </c>
      <c r="B469" t="s">
        <v>970</v>
      </c>
      <c r="C469" t="s">
        <v>14</v>
      </c>
      <c r="D469">
        <v>39</v>
      </c>
      <c r="E469" t="s">
        <v>37</v>
      </c>
      <c r="F469" t="s">
        <v>16</v>
      </c>
      <c r="G469">
        <v>178492</v>
      </c>
      <c r="H469" t="s">
        <v>17</v>
      </c>
      <c r="I469" s="1">
        <v>45319</v>
      </c>
      <c r="J469" t="s">
        <v>18</v>
      </c>
      <c r="K469" t="s">
        <v>19</v>
      </c>
      <c r="L469">
        <v>1</v>
      </c>
      <c r="M469" t="s">
        <v>1044</v>
      </c>
    </row>
    <row r="470" spans="1:13" x14ac:dyDescent="0.35">
      <c r="A470" t="s">
        <v>971</v>
      </c>
      <c r="B470" t="s">
        <v>972</v>
      </c>
      <c r="C470" t="s">
        <v>14</v>
      </c>
      <c r="D470">
        <v>44</v>
      </c>
      <c r="E470" t="s">
        <v>23</v>
      </c>
      <c r="F470" t="s">
        <v>52</v>
      </c>
      <c r="G470">
        <v>190102</v>
      </c>
      <c r="H470" t="s">
        <v>30</v>
      </c>
      <c r="I470" s="1">
        <v>42954</v>
      </c>
      <c r="J470" t="s">
        <v>18</v>
      </c>
      <c r="K470" t="s">
        <v>19</v>
      </c>
      <c r="L470">
        <v>8</v>
      </c>
      <c r="M470" t="s">
        <v>1046</v>
      </c>
    </row>
    <row r="471" spans="1:13" x14ac:dyDescent="0.35">
      <c r="A471" t="s">
        <v>973</v>
      </c>
      <c r="B471" t="s">
        <v>974</v>
      </c>
      <c r="C471" t="s">
        <v>22</v>
      </c>
      <c r="D471">
        <v>66</v>
      </c>
      <c r="E471" t="s">
        <v>15</v>
      </c>
      <c r="F471" t="s">
        <v>38</v>
      </c>
      <c r="G471">
        <v>152130</v>
      </c>
      <c r="H471" t="s">
        <v>17</v>
      </c>
      <c r="I471" s="1">
        <v>44345</v>
      </c>
      <c r="J471" t="s">
        <v>55</v>
      </c>
      <c r="K471" t="s">
        <v>34</v>
      </c>
      <c r="L471">
        <v>4</v>
      </c>
      <c r="M471" t="s">
        <v>1045</v>
      </c>
    </row>
    <row r="472" spans="1:13" x14ac:dyDescent="0.35">
      <c r="A472" t="s">
        <v>975</v>
      </c>
      <c r="B472" t="s">
        <v>976</v>
      </c>
      <c r="C472" t="s">
        <v>14</v>
      </c>
      <c r="D472">
        <v>30</v>
      </c>
      <c r="E472" t="s">
        <v>37</v>
      </c>
      <c r="F472" t="s">
        <v>24</v>
      </c>
      <c r="G472">
        <v>96260</v>
      </c>
      <c r="H472" t="s">
        <v>17</v>
      </c>
      <c r="I472" s="1">
        <v>45664</v>
      </c>
      <c r="J472" t="s">
        <v>18</v>
      </c>
      <c r="K472" t="s">
        <v>40</v>
      </c>
      <c r="L472">
        <v>0</v>
      </c>
      <c r="M472" t="s">
        <v>1044</v>
      </c>
    </row>
    <row r="473" spans="1:13" x14ac:dyDescent="0.35">
      <c r="A473" t="s">
        <v>977</v>
      </c>
      <c r="B473" t="s">
        <v>978</v>
      </c>
      <c r="C473" t="s">
        <v>22</v>
      </c>
      <c r="D473">
        <v>50</v>
      </c>
      <c r="E473" t="s">
        <v>15</v>
      </c>
      <c r="F473" t="s">
        <v>33</v>
      </c>
      <c r="G473">
        <v>179476</v>
      </c>
      <c r="H473" t="s">
        <v>17</v>
      </c>
      <c r="I473" s="1">
        <v>43369</v>
      </c>
      <c r="J473" t="s">
        <v>26</v>
      </c>
      <c r="K473" t="s">
        <v>19</v>
      </c>
      <c r="L473">
        <v>7</v>
      </c>
      <c r="M473" t="s">
        <v>1046</v>
      </c>
    </row>
    <row r="474" spans="1:13" x14ac:dyDescent="0.35">
      <c r="A474" t="s">
        <v>979</v>
      </c>
      <c r="B474" t="s">
        <v>980</v>
      </c>
      <c r="C474" t="s">
        <v>14</v>
      </c>
      <c r="D474">
        <v>51</v>
      </c>
      <c r="E474" t="s">
        <v>15</v>
      </c>
      <c r="F474" t="s">
        <v>38</v>
      </c>
      <c r="G474">
        <v>180928</v>
      </c>
      <c r="H474" t="s">
        <v>17</v>
      </c>
      <c r="I474" s="1">
        <v>44083</v>
      </c>
      <c r="J474" t="s">
        <v>26</v>
      </c>
      <c r="K474" t="s">
        <v>19</v>
      </c>
      <c r="L474">
        <v>5</v>
      </c>
      <c r="M474" t="s">
        <v>1045</v>
      </c>
    </row>
    <row r="475" spans="1:13" x14ac:dyDescent="0.35">
      <c r="A475" t="s">
        <v>981</v>
      </c>
      <c r="B475" t="s">
        <v>982</v>
      </c>
      <c r="C475" t="s">
        <v>22</v>
      </c>
      <c r="D475">
        <v>58</v>
      </c>
      <c r="E475" t="s">
        <v>23</v>
      </c>
      <c r="F475" t="s">
        <v>47</v>
      </c>
      <c r="G475">
        <v>160272</v>
      </c>
      <c r="H475" t="s">
        <v>25</v>
      </c>
      <c r="I475" s="1">
        <v>43719</v>
      </c>
      <c r="J475" t="s">
        <v>26</v>
      </c>
      <c r="K475" t="s">
        <v>19</v>
      </c>
      <c r="L475">
        <v>6</v>
      </c>
      <c r="M475" t="s">
        <v>1046</v>
      </c>
    </row>
    <row r="476" spans="1:13" x14ac:dyDescent="0.35">
      <c r="A476" t="s">
        <v>983</v>
      </c>
      <c r="B476" t="s">
        <v>984</v>
      </c>
      <c r="C476" t="s">
        <v>14</v>
      </c>
      <c r="D476">
        <v>52</v>
      </c>
      <c r="E476" t="s">
        <v>37</v>
      </c>
      <c r="F476" t="s">
        <v>33</v>
      </c>
      <c r="G476">
        <v>84178</v>
      </c>
      <c r="H476" t="s">
        <v>30</v>
      </c>
      <c r="I476" s="1">
        <v>44123</v>
      </c>
      <c r="J476" t="s">
        <v>26</v>
      </c>
      <c r="K476" t="s">
        <v>40</v>
      </c>
      <c r="L476">
        <v>5</v>
      </c>
      <c r="M476" t="s">
        <v>1045</v>
      </c>
    </row>
    <row r="477" spans="1:13" x14ac:dyDescent="0.35">
      <c r="A477" t="s">
        <v>985</v>
      </c>
      <c r="B477" t="s">
        <v>986</v>
      </c>
      <c r="C477" t="s">
        <v>22</v>
      </c>
      <c r="D477">
        <v>18</v>
      </c>
      <c r="E477" t="s">
        <v>37</v>
      </c>
      <c r="F477" t="s">
        <v>38</v>
      </c>
      <c r="G477">
        <v>53997</v>
      </c>
      <c r="H477" t="s">
        <v>17</v>
      </c>
      <c r="I477" s="1">
        <v>43488</v>
      </c>
      <c r="J477" t="s">
        <v>39</v>
      </c>
      <c r="K477" t="s">
        <v>44</v>
      </c>
      <c r="L477">
        <v>6</v>
      </c>
      <c r="M477" t="s">
        <v>1046</v>
      </c>
    </row>
    <row r="478" spans="1:13" x14ac:dyDescent="0.35">
      <c r="A478" t="s">
        <v>987</v>
      </c>
      <c r="B478" t="s">
        <v>988</v>
      </c>
      <c r="C478" t="s">
        <v>14</v>
      </c>
      <c r="D478">
        <v>38</v>
      </c>
      <c r="E478" t="s">
        <v>15</v>
      </c>
      <c r="F478" t="s">
        <v>33</v>
      </c>
      <c r="G478">
        <v>176683</v>
      </c>
      <c r="H478" t="s">
        <v>17</v>
      </c>
      <c r="I478" s="1">
        <v>42325</v>
      </c>
      <c r="J478" t="s">
        <v>18</v>
      </c>
      <c r="K478" t="s">
        <v>19</v>
      </c>
      <c r="L478">
        <v>10</v>
      </c>
      <c r="M478" t="s">
        <v>1047</v>
      </c>
    </row>
    <row r="479" spans="1:13" x14ac:dyDescent="0.35">
      <c r="A479" t="s">
        <v>989</v>
      </c>
      <c r="B479" t="s">
        <v>990</v>
      </c>
      <c r="C479" t="s">
        <v>22</v>
      </c>
      <c r="D479">
        <v>65</v>
      </c>
      <c r="E479" t="s">
        <v>43</v>
      </c>
      <c r="F479" t="s">
        <v>24</v>
      </c>
      <c r="G479">
        <v>139273</v>
      </c>
      <c r="H479" t="s">
        <v>25</v>
      </c>
      <c r="I479" s="1">
        <v>42602</v>
      </c>
      <c r="J479" t="s">
        <v>55</v>
      </c>
      <c r="K479" t="s">
        <v>34</v>
      </c>
      <c r="L479">
        <v>9</v>
      </c>
      <c r="M479" t="s">
        <v>1047</v>
      </c>
    </row>
    <row r="480" spans="1:13" x14ac:dyDescent="0.35">
      <c r="A480" t="s">
        <v>991</v>
      </c>
      <c r="B480" t="s">
        <v>992</v>
      </c>
      <c r="C480" t="s">
        <v>14</v>
      </c>
      <c r="D480">
        <v>72</v>
      </c>
      <c r="E480" t="s">
        <v>23</v>
      </c>
      <c r="F480" t="s">
        <v>47</v>
      </c>
      <c r="G480">
        <v>192307</v>
      </c>
      <c r="H480" t="s">
        <v>25</v>
      </c>
      <c r="I480" s="1">
        <v>44108</v>
      </c>
      <c r="J480" t="s">
        <v>55</v>
      </c>
      <c r="K480" t="s">
        <v>19</v>
      </c>
      <c r="L480">
        <v>5</v>
      </c>
      <c r="M480" t="s">
        <v>1045</v>
      </c>
    </row>
    <row r="481" spans="1:13" x14ac:dyDescent="0.35">
      <c r="A481" t="s">
        <v>993</v>
      </c>
      <c r="B481" t="s">
        <v>994</v>
      </c>
      <c r="C481" t="s">
        <v>22</v>
      </c>
      <c r="D481">
        <v>23</v>
      </c>
      <c r="E481" t="s">
        <v>23</v>
      </c>
      <c r="F481" t="s">
        <v>24</v>
      </c>
      <c r="G481">
        <v>186129</v>
      </c>
      <c r="H481" t="s">
        <v>17</v>
      </c>
      <c r="I481" s="1">
        <v>45476</v>
      </c>
      <c r="J481" t="s">
        <v>39</v>
      </c>
      <c r="K481" t="s">
        <v>19</v>
      </c>
      <c r="L481">
        <v>1</v>
      </c>
      <c r="M481" t="s">
        <v>1044</v>
      </c>
    </row>
    <row r="482" spans="1:13" x14ac:dyDescent="0.35">
      <c r="A482" t="s">
        <v>995</v>
      </c>
      <c r="B482" t="s">
        <v>996</v>
      </c>
      <c r="C482" t="s">
        <v>22</v>
      </c>
      <c r="D482">
        <v>45</v>
      </c>
      <c r="E482" t="s">
        <v>23</v>
      </c>
      <c r="F482" t="s">
        <v>52</v>
      </c>
      <c r="G482">
        <v>152311</v>
      </c>
      <c r="H482" t="s">
        <v>17</v>
      </c>
      <c r="I482" s="1">
        <v>42411</v>
      </c>
      <c r="J482" t="s">
        <v>26</v>
      </c>
      <c r="K482" t="s">
        <v>34</v>
      </c>
      <c r="L482">
        <v>9</v>
      </c>
      <c r="M482" t="s">
        <v>1047</v>
      </c>
    </row>
    <row r="483" spans="1:13" x14ac:dyDescent="0.35">
      <c r="A483" t="s">
        <v>997</v>
      </c>
      <c r="B483" t="s">
        <v>998</v>
      </c>
      <c r="C483" t="s">
        <v>22</v>
      </c>
      <c r="D483">
        <v>34</v>
      </c>
      <c r="E483" t="s">
        <v>23</v>
      </c>
      <c r="F483" t="s">
        <v>47</v>
      </c>
      <c r="G483">
        <v>146945</v>
      </c>
      <c r="H483" t="s">
        <v>17</v>
      </c>
      <c r="I483" s="1">
        <v>43553</v>
      </c>
      <c r="J483" t="s">
        <v>18</v>
      </c>
      <c r="K483" t="s">
        <v>34</v>
      </c>
      <c r="L483">
        <v>6</v>
      </c>
      <c r="M483" t="s">
        <v>1046</v>
      </c>
    </row>
    <row r="484" spans="1:13" x14ac:dyDescent="0.35">
      <c r="A484" t="s">
        <v>999</v>
      </c>
      <c r="B484" t="s">
        <v>1000</v>
      </c>
      <c r="C484" t="s">
        <v>14</v>
      </c>
      <c r="D484">
        <v>22</v>
      </c>
      <c r="E484" t="s">
        <v>37</v>
      </c>
      <c r="F484" t="s">
        <v>29</v>
      </c>
      <c r="G484">
        <v>65272</v>
      </c>
      <c r="H484" t="s">
        <v>25</v>
      </c>
      <c r="I484" s="1">
        <v>45512</v>
      </c>
      <c r="J484" t="s">
        <v>39</v>
      </c>
      <c r="K484" t="s">
        <v>40</v>
      </c>
      <c r="L484">
        <v>1</v>
      </c>
      <c r="M484" t="s">
        <v>1044</v>
      </c>
    </row>
    <row r="485" spans="1:13" x14ac:dyDescent="0.35">
      <c r="A485" t="s">
        <v>1001</v>
      </c>
      <c r="B485" t="s">
        <v>1002</v>
      </c>
      <c r="C485" t="s">
        <v>22</v>
      </c>
      <c r="D485">
        <v>48</v>
      </c>
      <c r="E485" t="s">
        <v>37</v>
      </c>
      <c r="F485" t="s">
        <v>38</v>
      </c>
      <c r="G485">
        <v>109393</v>
      </c>
      <c r="H485" t="s">
        <v>17</v>
      </c>
      <c r="I485" s="1">
        <v>45087</v>
      </c>
      <c r="J485" t="s">
        <v>26</v>
      </c>
      <c r="K485" t="s">
        <v>40</v>
      </c>
      <c r="L485">
        <v>2</v>
      </c>
      <c r="M485" t="s">
        <v>1044</v>
      </c>
    </row>
    <row r="486" spans="1:13" x14ac:dyDescent="0.35">
      <c r="A486" t="s">
        <v>1003</v>
      </c>
      <c r="B486" t="s">
        <v>1004</v>
      </c>
      <c r="C486" t="s">
        <v>14</v>
      </c>
      <c r="D486">
        <v>22</v>
      </c>
      <c r="E486" t="s">
        <v>43</v>
      </c>
      <c r="F486" t="s">
        <v>47</v>
      </c>
      <c r="G486">
        <v>81212</v>
      </c>
      <c r="H486" t="s">
        <v>25</v>
      </c>
      <c r="I486" s="1">
        <v>43346</v>
      </c>
      <c r="J486" t="s">
        <v>39</v>
      </c>
      <c r="K486" t="s">
        <v>40</v>
      </c>
      <c r="L486">
        <v>7</v>
      </c>
      <c r="M486" t="s">
        <v>1046</v>
      </c>
    </row>
    <row r="487" spans="1:13" x14ac:dyDescent="0.35">
      <c r="A487" t="s">
        <v>1005</v>
      </c>
      <c r="B487" t="s">
        <v>1006</v>
      </c>
      <c r="C487" t="s">
        <v>22</v>
      </c>
      <c r="D487">
        <v>55</v>
      </c>
      <c r="E487" t="s">
        <v>23</v>
      </c>
      <c r="F487" t="s">
        <v>52</v>
      </c>
      <c r="G487">
        <v>166470</v>
      </c>
      <c r="H487" t="s">
        <v>17</v>
      </c>
      <c r="I487" s="1">
        <v>45621</v>
      </c>
      <c r="J487" t="s">
        <v>26</v>
      </c>
      <c r="K487" t="s">
        <v>19</v>
      </c>
      <c r="L487">
        <v>1</v>
      </c>
      <c r="M487" t="s">
        <v>1044</v>
      </c>
    </row>
    <row r="488" spans="1:13" x14ac:dyDescent="0.35">
      <c r="A488" t="s">
        <v>1007</v>
      </c>
      <c r="B488" t="s">
        <v>1008</v>
      </c>
      <c r="C488" t="s">
        <v>14</v>
      </c>
      <c r="D488">
        <v>20</v>
      </c>
      <c r="E488" t="s">
        <v>23</v>
      </c>
      <c r="F488" t="s">
        <v>52</v>
      </c>
      <c r="G488">
        <v>140030</v>
      </c>
      <c r="H488" t="s">
        <v>25</v>
      </c>
      <c r="I488" s="1">
        <v>44975</v>
      </c>
      <c r="J488" t="s">
        <v>39</v>
      </c>
      <c r="K488" t="s">
        <v>34</v>
      </c>
      <c r="L488">
        <v>2</v>
      </c>
      <c r="M488" t="s">
        <v>1044</v>
      </c>
    </row>
    <row r="489" spans="1:13" x14ac:dyDescent="0.35">
      <c r="A489" t="s">
        <v>1009</v>
      </c>
      <c r="B489" t="s">
        <v>1010</v>
      </c>
      <c r="C489" t="s">
        <v>22</v>
      </c>
      <c r="D489">
        <v>70</v>
      </c>
      <c r="E489" t="s">
        <v>15</v>
      </c>
      <c r="F489" t="s">
        <v>24</v>
      </c>
      <c r="G489">
        <v>76503</v>
      </c>
      <c r="H489" t="s">
        <v>17</v>
      </c>
      <c r="I489" s="1">
        <v>45681</v>
      </c>
      <c r="J489" t="s">
        <v>55</v>
      </c>
      <c r="K489" t="s">
        <v>40</v>
      </c>
      <c r="L489">
        <v>0</v>
      </c>
      <c r="M489" t="s">
        <v>1044</v>
      </c>
    </row>
    <row r="490" spans="1:13" x14ac:dyDescent="0.35">
      <c r="A490" t="s">
        <v>1011</v>
      </c>
      <c r="B490" t="s">
        <v>1012</v>
      </c>
      <c r="C490" t="s">
        <v>14</v>
      </c>
      <c r="D490">
        <v>40</v>
      </c>
      <c r="E490" t="s">
        <v>37</v>
      </c>
      <c r="F490" t="s">
        <v>33</v>
      </c>
      <c r="G490">
        <v>157710</v>
      </c>
      <c r="H490" t="s">
        <v>17</v>
      </c>
      <c r="I490" s="1">
        <v>45104</v>
      </c>
      <c r="J490" t="s">
        <v>18</v>
      </c>
      <c r="K490" t="s">
        <v>19</v>
      </c>
      <c r="L490">
        <v>2</v>
      </c>
      <c r="M490" t="s">
        <v>1044</v>
      </c>
    </row>
    <row r="491" spans="1:13" x14ac:dyDescent="0.35">
      <c r="A491" t="s">
        <v>1013</v>
      </c>
      <c r="B491" t="s">
        <v>1014</v>
      </c>
      <c r="C491" t="s">
        <v>14</v>
      </c>
      <c r="D491">
        <v>54</v>
      </c>
      <c r="E491" t="s">
        <v>23</v>
      </c>
      <c r="F491" t="s">
        <v>47</v>
      </c>
      <c r="G491">
        <v>26570</v>
      </c>
      <c r="H491" t="s">
        <v>17</v>
      </c>
      <c r="I491" s="1">
        <v>44800</v>
      </c>
      <c r="J491" t="s">
        <v>26</v>
      </c>
      <c r="K491" t="s">
        <v>44</v>
      </c>
      <c r="L491">
        <v>3</v>
      </c>
      <c r="M491" t="s">
        <v>1045</v>
      </c>
    </row>
    <row r="492" spans="1:13" x14ac:dyDescent="0.35">
      <c r="A492" t="s">
        <v>1015</v>
      </c>
      <c r="B492" t="s">
        <v>1016</v>
      </c>
      <c r="C492" t="s">
        <v>22</v>
      </c>
      <c r="D492">
        <v>70</v>
      </c>
      <c r="E492" t="s">
        <v>43</v>
      </c>
      <c r="F492" t="s">
        <v>38</v>
      </c>
      <c r="G492">
        <v>88785</v>
      </c>
      <c r="H492" t="s">
        <v>25</v>
      </c>
      <c r="I492" s="1">
        <v>44778</v>
      </c>
      <c r="J492" t="s">
        <v>55</v>
      </c>
      <c r="K492" t="s">
        <v>40</v>
      </c>
      <c r="L492">
        <v>3</v>
      </c>
      <c r="M492" t="s">
        <v>1045</v>
      </c>
    </row>
    <row r="493" spans="1:13" x14ac:dyDescent="0.35">
      <c r="A493" t="s">
        <v>1017</v>
      </c>
      <c r="B493" t="s">
        <v>1018</v>
      </c>
      <c r="C493" t="s">
        <v>14</v>
      </c>
      <c r="D493">
        <v>54</v>
      </c>
      <c r="E493" t="s">
        <v>43</v>
      </c>
      <c r="F493" t="s">
        <v>47</v>
      </c>
      <c r="G493">
        <v>29110</v>
      </c>
      <c r="H493" t="s">
        <v>17</v>
      </c>
      <c r="I493" s="1">
        <v>44859</v>
      </c>
      <c r="J493" t="s">
        <v>26</v>
      </c>
      <c r="K493" t="s">
        <v>44</v>
      </c>
      <c r="L493">
        <v>3</v>
      </c>
      <c r="M493" t="s">
        <v>1045</v>
      </c>
    </row>
    <row r="494" spans="1:13" x14ac:dyDescent="0.35">
      <c r="A494" t="s">
        <v>1019</v>
      </c>
      <c r="B494" t="s">
        <v>1020</v>
      </c>
      <c r="C494" t="s">
        <v>14</v>
      </c>
      <c r="D494">
        <v>27</v>
      </c>
      <c r="E494" t="s">
        <v>37</v>
      </c>
      <c r="F494" t="s">
        <v>16</v>
      </c>
      <c r="G494">
        <v>99141</v>
      </c>
      <c r="H494" t="s">
        <v>17</v>
      </c>
      <c r="I494" s="1">
        <v>45393</v>
      </c>
      <c r="J494" t="s">
        <v>39</v>
      </c>
      <c r="K494" t="s">
        <v>40</v>
      </c>
      <c r="L494">
        <v>1</v>
      </c>
      <c r="M494" t="s">
        <v>1044</v>
      </c>
    </row>
    <row r="495" spans="1:13" x14ac:dyDescent="0.35">
      <c r="A495" t="s">
        <v>1021</v>
      </c>
      <c r="B495" t="s">
        <v>1022</v>
      </c>
      <c r="C495" t="s">
        <v>22</v>
      </c>
      <c r="D495">
        <v>27</v>
      </c>
      <c r="E495" t="s">
        <v>43</v>
      </c>
      <c r="F495" t="s">
        <v>33</v>
      </c>
      <c r="G495">
        <v>32115</v>
      </c>
      <c r="H495" t="s">
        <v>17</v>
      </c>
      <c r="I495" s="1">
        <v>44267</v>
      </c>
      <c r="J495" t="s">
        <v>39</v>
      </c>
      <c r="K495" t="s">
        <v>44</v>
      </c>
      <c r="L495">
        <v>4</v>
      </c>
      <c r="M495" t="s">
        <v>1045</v>
      </c>
    </row>
    <row r="496" spans="1:13" x14ac:dyDescent="0.35">
      <c r="A496" t="s">
        <v>1023</v>
      </c>
      <c r="B496" t="s">
        <v>1024</v>
      </c>
      <c r="C496" t="s">
        <v>14</v>
      </c>
      <c r="D496">
        <v>36</v>
      </c>
      <c r="E496" t="s">
        <v>43</v>
      </c>
      <c r="F496" t="s">
        <v>38</v>
      </c>
      <c r="G496">
        <v>59062</v>
      </c>
      <c r="H496" t="s">
        <v>17</v>
      </c>
      <c r="I496" s="1">
        <v>44585</v>
      </c>
      <c r="J496" t="s">
        <v>18</v>
      </c>
      <c r="K496" t="s">
        <v>44</v>
      </c>
      <c r="L496">
        <v>3</v>
      </c>
      <c r="M496" t="s">
        <v>1045</v>
      </c>
    </row>
    <row r="497" spans="1:13" x14ac:dyDescent="0.35">
      <c r="A497" t="s">
        <v>1025</v>
      </c>
      <c r="B497" t="s">
        <v>1026</v>
      </c>
      <c r="C497" t="s">
        <v>14</v>
      </c>
      <c r="D497">
        <v>34</v>
      </c>
      <c r="E497" t="s">
        <v>37</v>
      </c>
      <c r="F497" t="s">
        <v>38</v>
      </c>
      <c r="G497">
        <v>42911</v>
      </c>
      <c r="H497" t="s">
        <v>25</v>
      </c>
      <c r="I497" s="1">
        <v>42920</v>
      </c>
      <c r="J497" t="s">
        <v>18</v>
      </c>
      <c r="K497" t="s">
        <v>44</v>
      </c>
      <c r="L497">
        <v>8</v>
      </c>
      <c r="M497" t="s">
        <v>1046</v>
      </c>
    </row>
    <row r="498" spans="1:13" x14ac:dyDescent="0.35">
      <c r="A498" t="s">
        <v>1027</v>
      </c>
      <c r="B498" t="s">
        <v>1028</v>
      </c>
      <c r="C498" t="s">
        <v>14</v>
      </c>
      <c r="D498">
        <v>38</v>
      </c>
      <c r="E498" t="s">
        <v>23</v>
      </c>
      <c r="F498" t="s">
        <v>29</v>
      </c>
      <c r="G498">
        <v>124061</v>
      </c>
      <c r="H498" t="s">
        <v>25</v>
      </c>
      <c r="I498" s="1">
        <v>45451</v>
      </c>
      <c r="J498" t="s">
        <v>18</v>
      </c>
      <c r="K498" t="s">
        <v>34</v>
      </c>
      <c r="L498">
        <v>1</v>
      </c>
      <c r="M498" t="s">
        <v>1044</v>
      </c>
    </row>
    <row r="499" spans="1:13" x14ac:dyDescent="0.35">
      <c r="A499" t="s">
        <v>1029</v>
      </c>
      <c r="B499" t="s">
        <v>1030</v>
      </c>
      <c r="C499" t="s">
        <v>22</v>
      </c>
      <c r="D499">
        <v>31</v>
      </c>
      <c r="E499" t="s">
        <v>23</v>
      </c>
      <c r="F499" t="s">
        <v>24</v>
      </c>
      <c r="G499">
        <v>52556</v>
      </c>
      <c r="H499" t="s">
        <v>25</v>
      </c>
      <c r="I499" s="1">
        <v>42561</v>
      </c>
      <c r="J499" t="s">
        <v>18</v>
      </c>
      <c r="K499" t="s">
        <v>44</v>
      </c>
      <c r="L499">
        <v>9</v>
      </c>
      <c r="M499" t="s">
        <v>1047</v>
      </c>
    </row>
    <row r="500" spans="1:13" x14ac:dyDescent="0.35">
      <c r="A500" t="s">
        <v>1031</v>
      </c>
      <c r="B500" t="s">
        <v>1032</v>
      </c>
      <c r="C500" t="s">
        <v>14</v>
      </c>
      <c r="D500">
        <v>26</v>
      </c>
      <c r="E500" t="s">
        <v>43</v>
      </c>
      <c r="F500" t="s">
        <v>29</v>
      </c>
      <c r="G500">
        <v>148335</v>
      </c>
      <c r="H500" t="s">
        <v>17</v>
      </c>
      <c r="I500" s="1">
        <v>45443</v>
      </c>
      <c r="J500" t="s">
        <v>39</v>
      </c>
      <c r="K500" t="s">
        <v>34</v>
      </c>
      <c r="L500">
        <v>1</v>
      </c>
      <c r="M500" t="s">
        <v>1044</v>
      </c>
    </row>
    <row r="501" spans="1:13" x14ac:dyDescent="0.35">
      <c r="A501" t="s">
        <v>1033</v>
      </c>
      <c r="B501" t="s">
        <v>1034</v>
      </c>
      <c r="C501" t="s">
        <v>22</v>
      </c>
      <c r="D501">
        <v>63</v>
      </c>
      <c r="E501" t="s">
        <v>43</v>
      </c>
      <c r="F501" t="s">
        <v>38</v>
      </c>
      <c r="G501">
        <v>21969</v>
      </c>
      <c r="H501" t="s">
        <v>25</v>
      </c>
      <c r="I501" s="1">
        <v>45488</v>
      </c>
      <c r="J501" t="s">
        <v>55</v>
      </c>
      <c r="K501" t="s">
        <v>44</v>
      </c>
      <c r="L501">
        <v>1</v>
      </c>
      <c r="M501" t="s">
        <v>1044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E1F49-185C-466D-9EA8-B7CB09E779E9}">
  <dimension ref="A1:L32"/>
  <sheetViews>
    <sheetView zoomScale="66" zoomScaleNormal="90" workbookViewId="0">
      <selection activeCell="D21" sqref="D21"/>
    </sheetView>
  </sheetViews>
  <sheetFormatPr defaultRowHeight="14.5" x14ac:dyDescent="0.35"/>
  <cols>
    <col min="1" max="1" width="17" bestFit="1" customWidth="1"/>
    <col min="2" max="2" width="17.81640625" bestFit="1" customWidth="1"/>
    <col min="3" max="3" width="16.453125" bestFit="1" customWidth="1"/>
    <col min="4" max="4" width="17" bestFit="1" customWidth="1"/>
    <col min="5" max="5" width="18.54296875" bestFit="1" customWidth="1"/>
    <col min="6" max="6" width="12.1796875" bestFit="1" customWidth="1"/>
    <col min="7" max="7" width="12.453125" bestFit="1" customWidth="1"/>
    <col min="8" max="8" width="16" bestFit="1" customWidth="1"/>
    <col min="9" max="9" width="17.1796875" bestFit="1" customWidth="1"/>
    <col min="10" max="11" width="10.81640625" bestFit="1" customWidth="1"/>
    <col min="12" max="12" width="11.90625" bestFit="1" customWidth="1"/>
  </cols>
  <sheetData>
    <row r="1" spans="1:9" x14ac:dyDescent="0.35">
      <c r="A1" s="7" t="s">
        <v>1038</v>
      </c>
      <c r="B1" s="7"/>
      <c r="C1" s="7"/>
      <c r="D1" s="7"/>
      <c r="E1" s="7"/>
      <c r="F1" s="7"/>
    </row>
    <row r="3" spans="1:9" x14ac:dyDescent="0.35">
      <c r="B3" t="s">
        <v>1037</v>
      </c>
      <c r="C3" t="s">
        <v>1041</v>
      </c>
      <c r="E3" t="s">
        <v>4</v>
      </c>
      <c r="H3" t="s">
        <v>2</v>
      </c>
    </row>
    <row r="4" spans="1:9" x14ac:dyDescent="0.35">
      <c r="B4">
        <v>500</v>
      </c>
      <c r="C4" s="4">
        <v>114398.822</v>
      </c>
      <c r="E4" s="2" t="s">
        <v>1039</v>
      </c>
      <c r="F4" t="s">
        <v>1037</v>
      </c>
      <c r="H4" s="2" t="s">
        <v>1039</v>
      </c>
      <c r="I4" t="s">
        <v>1037</v>
      </c>
    </row>
    <row r="5" spans="1:9" x14ac:dyDescent="0.35">
      <c r="E5" s="3" t="s">
        <v>23</v>
      </c>
      <c r="F5">
        <v>133</v>
      </c>
      <c r="H5" s="3" t="s">
        <v>22</v>
      </c>
      <c r="I5">
        <v>256</v>
      </c>
    </row>
    <row r="6" spans="1:9" x14ac:dyDescent="0.35">
      <c r="E6" s="3" t="s">
        <v>15</v>
      </c>
      <c r="F6">
        <v>120</v>
      </c>
      <c r="H6" s="3" t="s">
        <v>14</v>
      </c>
      <c r="I6">
        <v>244</v>
      </c>
    </row>
    <row r="7" spans="1:9" x14ac:dyDescent="0.35">
      <c r="E7" s="3" t="s">
        <v>43</v>
      </c>
      <c r="F7">
        <v>137</v>
      </c>
    </row>
    <row r="8" spans="1:9" x14ac:dyDescent="0.35">
      <c r="E8" s="3" t="s">
        <v>37</v>
      </c>
      <c r="F8">
        <v>110</v>
      </c>
    </row>
    <row r="10" spans="1:9" x14ac:dyDescent="0.35">
      <c r="A10" s="8" t="s">
        <v>1040</v>
      </c>
      <c r="B10" s="7"/>
      <c r="C10" s="7"/>
      <c r="D10" s="7"/>
      <c r="E10" s="7"/>
    </row>
    <row r="12" spans="1:9" x14ac:dyDescent="0.35">
      <c r="B12" s="2" t="s">
        <v>1039</v>
      </c>
      <c r="C12" t="s">
        <v>1037</v>
      </c>
      <c r="D12" t="s">
        <v>1041</v>
      </c>
    </row>
    <row r="13" spans="1:9" x14ac:dyDescent="0.35">
      <c r="B13" s="3" t="s">
        <v>25</v>
      </c>
      <c r="C13">
        <v>169</v>
      </c>
      <c r="D13" s="4">
        <v>112910.04142011834</v>
      </c>
    </row>
    <row r="14" spans="1:9" x14ac:dyDescent="0.35">
      <c r="B14" s="3" t="s">
        <v>30</v>
      </c>
      <c r="C14">
        <v>45</v>
      </c>
      <c r="D14" s="4">
        <v>118774.17777777778</v>
      </c>
    </row>
    <row r="15" spans="1:9" x14ac:dyDescent="0.35">
      <c r="B15" s="3" t="s">
        <v>17</v>
      </c>
      <c r="C15">
        <v>286</v>
      </c>
      <c r="D15" s="4">
        <v>114590.12587412588</v>
      </c>
    </row>
    <row r="17" spans="1:12" x14ac:dyDescent="0.35">
      <c r="A17" s="7" t="s">
        <v>1042</v>
      </c>
      <c r="B17" s="7"/>
      <c r="C17" s="7"/>
      <c r="D17" s="7"/>
      <c r="E17" s="7"/>
    </row>
    <row r="19" spans="1:12" x14ac:dyDescent="0.35">
      <c r="B19" s="2" t="s">
        <v>1039</v>
      </c>
      <c r="C19" t="s">
        <v>1037</v>
      </c>
      <c r="D19" t="s">
        <v>1041</v>
      </c>
    </row>
    <row r="20" spans="1:12" x14ac:dyDescent="0.35">
      <c r="B20" s="3" t="s">
        <v>1045</v>
      </c>
      <c r="C20">
        <v>146</v>
      </c>
      <c r="D20" s="4">
        <v>114148.36986301369</v>
      </c>
      <c r="E20" t="str" cm="1">
        <f t="array" ref="E20:E23">B20:B23</f>
        <v>Emerging (3-5 Yrs)</v>
      </c>
      <c r="F20" s="6" cm="1">
        <f t="array" ref="F20:F23">D20:D23</f>
        <v>114148.36986301369</v>
      </c>
    </row>
    <row r="21" spans="1:12" x14ac:dyDescent="0.35">
      <c r="B21" s="3" t="s">
        <v>1046</v>
      </c>
      <c r="C21">
        <v>170</v>
      </c>
      <c r="D21" s="4">
        <v>114372.0294117647</v>
      </c>
      <c r="E21" t="str">
        <v>Established (6-8 Yrs)</v>
      </c>
      <c r="F21" s="6">
        <v>114372.0294117647</v>
      </c>
    </row>
    <row r="22" spans="1:12" x14ac:dyDescent="0.35">
      <c r="B22" s="3" t="s">
        <v>1047</v>
      </c>
      <c r="C22">
        <v>60</v>
      </c>
      <c r="D22" s="4">
        <v>103390</v>
      </c>
      <c r="E22" t="str">
        <v>Loyal (9-10 Yrs)</v>
      </c>
      <c r="F22" s="6">
        <v>103390</v>
      </c>
    </row>
    <row r="23" spans="1:12" x14ac:dyDescent="0.35">
      <c r="B23" s="3" t="s">
        <v>1044</v>
      </c>
      <c r="C23">
        <v>124</v>
      </c>
      <c r="D23" s="4">
        <v>120057.29032258065</v>
      </c>
      <c r="E23" t="str">
        <v>New (0-2 Yrs)</v>
      </c>
      <c r="F23" s="6">
        <v>120057.29032258065</v>
      </c>
    </row>
    <row r="25" spans="1:12" x14ac:dyDescent="0.35">
      <c r="A25" s="7" t="s">
        <v>1048</v>
      </c>
      <c r="B25" s="7"/>
      <c r="C25" s="7"/>
      <c r="D25" s="7"/>
      <c r="E25" s="7"/>
    </row>
    <row r="27" spans="1:12" x14ac:dyDescent="0.35">
      <c r="B27" s="2" t="s">
        <v>1037</v>
      </c>
      <c r="C27" s="2" t="s">
        <v>1049</v>
      </c>
      <c r="H27" s="2" t="s">
        <v>1041</v>
      </c>
      <c r="I27" s="2" t="s">
        <v>1049</v>
      </c>
    </row>
    <row r="28" spans="1:12" x14ac:dyDescent="0.35">
      <c r="B28" s="2" t="s">
        <v>1039</v>
      </c>
      <c r="C28" t="s">
        <v>34</v>
      </c>
      <c r="D28" t="s">
        <v>44</v>
      </c>
      <c r="E28" t="s">
        <v>40</v>
      </c>
      <c r="F28" t="s">
        <v>19</v>
      </c>
      <c r="H28" s="2" t="s">
        <v>1039</v>
      </c>
      <c r="I28" t="s">
        <v>34</v>
      </c>
      <c r="J28" t="s">
        <v>44</v>
      </c>
      <c r="K28" t="s">
        <v>40</v>
      </c>
      <c r="L28" t="s">
        <v>19</v>
      </c>
    </row>
    <row r="29" spans="1:12" x14ac:dyDescent="0.35">
      <c r="B29" s="3" t="s">
        <v>39</v>
      </c>
      <c r="C29">
        <v>22</v>
      </c>
      <c r="D29">
        <v>20</v>
      </c>
      <c r="E29">
        <v>26</v>
      </c>
      <c r="F29">
        <v>18</v>
      </c>
      <c r="H29" s="3" t="s">
        <v>55</v>
      </c>
      <c r="I29" s="4">
        <v>135990.21428571429</v>
      </c>
      <c r="J29" s="4">
        <v>44043.1</v>
      </c>
      <c r="K29" s="4">
        <v>90744.604651162794</v>
      </c>
      <c r="L29" s="4">
        <v>177311.54285714286</v>
      </c>
    </row>
    <row r="30" spans="1:12" x14ac:dyDescent="0.35">
      <c r="B30" s="3" t="s">
        <v>55</v>
      </c>
      <c r="C30">
        <v>28</v>
      </c>
      <c r="D30">
        <v>20</v>
      </c>
      <c r="E30">
        <v>43</v>
      </c>
      <c r="F30">
        <v>35</v>
      </c>
      <c r="H30" s="3" t="s">
        <v>26</v>
      </c>
      <c r="I30" s="4">
        <v>137013.84848484848</v>
      </c>
      <c r="J30" s="4">
        <v>45124.909090909088</v>
      </c>
      <c r="K30" s="4">
        <v>85061.6</v>
      </c>
      <c r="L30" s="4">
        <v>176526.25</v>
      </c>
    </row>
    <row r="31" spans="1:12" x14ac:dyDescent="0.35">
      <c r="B31" s="3" t="s">
        <v>26</v>
      </c>
      <c r="C31">
        <v>33</v>
      </c>
      <c r="D31">
        <v>33</v>
      </c>
      <c r="E31">
        <v>35</v>
      </c>
      <c r="F31">
        <v>40</v>
      </c>
      <c r="H31" s="3" t="s">
        <v>39</v>
      </c>
      <c r="I31" s="4">
        <v>140518.40909090909</v>
      </c>
      <c r="J31" s="4">
        <v>44506.7</v>
      </c>
      <c r="K31" s="4">
        <v>89903.923076923078</v>
      </c>
      <c r="L31" s="4">
        <v>181283.72222222222</v>
      </c>
    </row>
    <row r="32" spans="1:12" x14ac:dyDescent="0.35">
      <c r="B32" s="3" t="s">
        <v>18</v>
      </c>
      <c r="C32">
        <v>34</v>
      </c>
      <c r="D32">
        <v>37</v>
      </c>
      <c r="E32">
        <v>31</v>
      </c>
      <c r="F32">
        <v>45</v>
      </c>
      <c r="H32" s="3" t="s">
        <v>18</v>
      </c>
      <c r="I32" s="4">
        <v>127779.17647058824</v>
      </c>
      <c r="J32" s="4">
        <v>41491.945945945947</v>
      </c>
      <c r="K32" s="4">
        <v>89696.580645161288</v>
      </c>
      <c r="L32" s="4">
        <v>180259.55555555556</v>
      </c>
    </row>
  </sheetData>
  <mergeCells count="4">
    <mergeCell ref="A1:F1"/>
    <mergeCell ref="A10:E10"/>
    <mergeCell ref="A17:E17"/>
    <mergeCell ref="A25:E25"/>
  </mergeCells>
  <conditionalFormatting pivot="1" sqref="C29:F32">
    <cfRule type="colorScale" priority="5">
      <colorScale>
        <cfvo type="min"/>
        <cfvo type="percentile" val="50"/>
        <cfvo type="max"/>
        <color rgb="FFF8696B"/>
        <color rgb="FFFFEB84"/>
        <color rgb="FF63BE7B"/>
      </colorScale>
    </cfRule>
  </conditionalFormatting>
  <conditionalFormatting pivot="1" sqref="I29:I32">
    <cfRule type="colorScale" priority="4">
      <colorScale>
        <cfvo type="min"/>
        <cfvo type="percentile" val="50"/>
        <cfvo type="max"/>
        <color rgb="FFF8696B"/>
        <color rgb="FFFFEB84"/>
        <color rgb="FF63BE7B"/>
      </colorScale>
    </cfRule>
  </conditionalFormatting>
  <conditionalFormatting pivot="1" sqref="J29:J32">
    <cfRule type="colorScale" priority="3">
      <colorScale>
        <cfvo type="min"/>
        <cfvo type="percentile" val="50"/>
        <cfvo type="max"/>
        <color rgb="FFF8696B"/>
        <color rgb="FFFFEB84"/>
        <color rgb="FF63BE7B"/>
      </colorScale>
    </cfRule>
  </conditionalFormatting>
  <conditionalFormatting pivot="1" sqref="K29:K32">
    <cfRule type="colorScale" priority="2">
      <colorScale>
        <cfvo type="min"/>
        <cfvo type="percentile" val="50"/>
        <cfvo type="max"/>
        <color rgb="FFF8696B"/>
        <color rgb="FFFFEB84"/>
        <color rgb="FF63BE7B"/>
      </colorScale>
    </cfRule>
  </conditionalFormatting>
  <conditionalFormatting pivot="1" sqref="L29:L32">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FC5FD-73E5-443D-838B-ACA21AC22C49}">
  <dimension ref="A1"/>
  <sheetViews>
    <sheetView showGridLines="0" tabSelected="1" topLeftCell="A2" zoomScale="79" zoomScaleNormal="81" workbookViewId="0">
      <selection activeCell="X18" sqref="X18"/>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228F9-F58C-4736-A1B8-14331B65DBAF}">
  <dimension ref="A1"/>
  <sheetViews>
    <sheetView showGridLines="0" zoomScale="58" zoomScaleNormal="70" workbookViewId="0">
      <selection activeCell="X42" sqref="X42"/>
    </sheetView>
  </sheetViews>
  <sheetFormatPr defaultRowHeight="14.5" x14ac:dyDescent="0.35"/>
  <cols>
    <col min="1" max="16384" width="8.7265625" style="5"/>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3EEC6-844E-4B3E-9D57-32DA7C0008D3}">
  <dimension ref="A1:A2"/>
  <sheetViews>
    <sheetView workbookViewId="0"/>
  </sheetViews>
  <sheetFormatPr defaultRowHeight="14.5" x14ac:dyDescent="0.35"/>
  <cols>
    <col min="1" max="1" width="11.08984375" bestFit="1" customWidth="1"/>
  </cols>
  <sheetData>
    <row r="1" spans="1:1" x14ac:dyDescent="0.35">
      <c r="A1" t="s">
        <v>1035</v>
      </c>
    </row>
    <row r="2" spans="1:1" x14ac:dyDescent="0.35">
      <c r="A2" t="s">
        <v>1036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Props1.xml><?xml version="1.0" encoding="utf-8"?>
<ds:datastoreItem xmlns:ds="http://schemas.openxmlformats.org/officeDocument/2006/customXml" ds:itemID="{2FE5EA4A-43DD-4642-8662-3D0AC8CB8D31}">
  <ds:schemaRefs/>
</ds:datastoreItem>
</file>

<file path=customXml/itemProps2.xml><?xml version="1.0" encoding="utf-8"?>
<ds:datastoreItem xmlns:ds="http://schemas.openxmlformats.org/officeDocument/2006/customXml" ds:itemID="{9D536D99-55A0-424C-899E-C99B4E57FF07}">
  <ds:schemaRefs/>
</ds:datastoreItem>
</file>

<file path=customXml/itemProps3.xml><?xml version="1.0" encoding="utf-8"?>
<ds:datastoreItem xmlns:ds="http://schemas.openxmlformats.org/officeDocument/2006/customXml" ds:itemID="{B9F0491F-06AB-4633-BB59-1A02725B2AC2}">
  <ds:schemaRefs/>
</ds:datastoreItem>
</file>

<file path=customXml/itemProps4.xml><?xml version="1.0" encoding="utf-8"?>
<ds:datastoreItem xmlns:ds="http://schemas.openxmlformats.org/officeDocument/2006/customXml" ds:itemID="{24AA6250-230B-4BE7-A543-3F5F5B186222}">
  <ds:schemaRefs/>
</ds:datastoreItem>
</file>

<file path=customXml/itemProps5.xml><?xml version="1.0" encoding="utf-8"?>
<ds:datastoreItem xmlns:ds="http://schemas.openxmlformats.org/officeDocument/2006/customXml" ds:itemID="{83D3A6C3-F930-46DA-B4B5-2ACC49A84D42}">
  <ds:schemaRefs>
    <ds:schemaRef ds:uri="http://schemas.microsoft.com/DataMashup"/>
  </ds:schemaRefs>
</ds:datastoreItem>
</file>

<file path=customXml/itemProps6.xml><?xml version="1.0" encoding="utf-8"?>
<ds:datastoreItem xmlns:ds="http://schemas.openxmlformats.org/officeDocument/2006/customXml" ds:itemID="{BE0F5D60-3A77-469B-A7B9-0E8400373C9F}">
  <ds:schemaRefs/>
</ds:datastoreItem>
</file>

<file path=customXml/itemProps7.xml><?xml version="1.0" encoding="utf-8"?>
<ds:datastoreItem xmlns:ds="http://schemas.openxmlformats.org/officeDocument/2006/customXml" ds:itemID="{871C011A-C6CC-4331-B3C3-DE12E11FA854}">
  <ds:schemaRefs/>
</ds:datastoreItem>
</file>

<file path=customXml/itemProps8.xml><?xml version="1.0" encoding="utf-8"?>
<ds:datastoreItem xmlns:ds="http://schemas.openxmlformats.org/officeDocument/2006/customXml" ds:itemID="{27FD3A7A-D8DA-489B-8F9D-FE518A513DE0}">
  <ds:schemaRefs/>
</ds:datastoreItem>
</file>

<file path=customXml/itemProps9.xml><?xml version="1.0" encoding="utf-8"?>
<ds:datastoreItem xmlns:ds="http://schemas.openxmlformats.org/officeDocument/2006/customXml" ds:itemID="{028E48E8-9CD0-439C-8D42-9CC20F094669}">
  <ds:schemaRefs/>
</ds:datastoreItem>
</file>

<file path=customXml/itemProps10.xml><?xml version="1.0" encoding="utf-8"?>
<ds:datastoreItem xmlns:ds="http://schemas.openxmlformats.org/officeDocument/2006/customXml" ds:itemID="{2E3230EB-7138-45BF-A64F-8ACE16F8126B}">
  <ds:schemaRefs/>
</ds:datastoreItem>
</file>

<file path=customXml/itemProps11.xml><?xml version="1.0" encoding="utf-8"?>
<ds:datastoreItem xmlns:ds="http://schemas.openxmlformats.org/officeDocument/2006/customXml" ds:itemID="{33B73E04-7B27-4015-9533-C3B5643CFD63}">
  <ds:schemaRefs/>
</ds:datastoreItem>
</file>

<file path=customXml/itemProps12.xml><?xml version="1.0" encoding="utf-8"?>
<ds:datastoreItem xmlns:ds="http://schemas.openxmlformats.org/officeDocument/2006/customXml" ds:itemID="{6B56C31D-BE23-4705-BAFF-42EF7FD5638E}">
  <ds:schemaRefs/>
</ds:datastoreItem>
</file>

<file path=customXml/itemProps13.xml><?xml version="1.0" encoding="utf-8"?>
<ds:datastoreItem xmlns:ds="http://schemas.openxmlformats.org/officeDocument/2006/customXml" ds:itemID="{EDF03E39-79B6-45D7-867A-72361A63327F}">
  <ds:schemaRefs/>
</ds:datastoreItem>
</file>

<file path=customXml/itemProps14.xml><?xml version="1.0" encoding="utf-8"?>
<ds:datastoreItem xmlns:ds="http://schemas.openxmlformats.org/officeDocument/2006/customXml" ds:itemID="{A68751E2-DC8D-4A0A-A983-A433D16F693D}">
  <ds:schemaRefs/>
</ds:datastoreItem>
</file>

<file path=customXml/itemProps15.xml><?xml version="1.0" encoding="utf-8"?>
<ds:datastoreItem xmlns:ds="http://schemas.openxmlformats.org/officeDocument/2006/customXml" ds:itemID="{A878709E-F552-4027-80AF-49B1FD63CD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Calculation</vt:lpstr>
      <vt:lpstr>Dashboard</vt:lpstr>
      <vt:lpstr>Report</vt:lpstr>
      <vt:lpstr>Measures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Lawal yusuf</dc:creator>
  <cp:lastModifiedBy>Lawal yusuf</cp:lastModifiedBy>
  <dcterms:created xsi:type="dcterms:W3CDTF">2025-08-28T12:21:30Z</dcterms:created>
  <dcterms:modified xsi:type="dcterms:W3CDTF">2025-08-29T21:55:28Z</dcterms:modified>
</cp:coreProperties>
</file>