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2.xml" ContentType="application/vnd.openxmlformats-officedocument.themeOverride+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C:\Users\HP PRO BOOK 430 G6\OneDrive\Desktop\mb\W2\"/>
    </mc:Choice>
  </mc:AlternateContent>
  <xr:revisionPtr revIDLastSave="0" documentId="13_ncr:1_{1CD91C20-8CF2-408B-9E70-F3A832091026}" xr6:coauthVersionLast="47" xr6:coauthVersionMax="47" xr10:uidLastSave="{00000000-0000-0000-0000-000000000000}"/>
  <bookViews>
    <workbookView xWindow="-110" yWindow="-110" windowWidth="19420" windowHeight="10300" activeTab="2" xr2:uid="{90408B41-B8D3-4BCD-9F46-FE67F32401C4}"/>
  </bookViews>
  <sheets>
    <sheet name="Calculation" sheetId="1" r:id="rId1"/>
    <sheet name="Dashboard" sheetId="2" r:id="rId2"/>
    <sheet name="Report" sheetId="3" r:id="rId3"/>
  </sheets>
  <calcPr calcId="191029"/>
  <pivotCaches>
    <pivotCache cacheId="233" r:id="rId4"/>
    <pivotCache cacheId="234" r:id="rId5"/>
    <pivotCache cacheId="235" r:id="rId6"/>
    <pivotCache cacheId="236" r:id="rId7"/>
    <pivotCache cacheId="237" r:id="rId8"/>
    <pivotCache cacheId="238" r:id="rId9"/>
    <pivotCache cacheId="239" r:id="rId10"/>
    <pivotCache cacheId="240" r:id="rId11"/>
    <pivotCache cacheId="241" r:id="rId12"/>
    <pivotCache cacheId="269" r:id="rId13"/>
    <pivotCache cacheId="284" r:id="rId1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counts_cec7ce15-1438-40f2-8e69-18f52d4ecd7c" name="accounts" connection="Query - accounts"/>
          <x15:modelTable id="A_19081fd1-3414-4c5a-8615-c2a6da053b32" name="A" connection="Query - Measures"/>
          <x15:modelTable id="Customers_253f3bed-f53f-48e8-b830-bda9d46b9635" name="Customers" connection="Excel mb"/>
        </x15:modelTables>
        <x15:modelRelationships>
          <x15:modelRelationship fromTable="accounts" fromColumn="CustomerID" toTable="Customers" toColumn="CustomerID"/>
        </x15:modelRelationships>
        <x15:extLst>
          <ext xmlns:x16="http://schemas.microsoft.com/office/spreadsheetml/2014/11/main" uri="{9835A34E-60A6-4A7C-AAB8-D5F71C897F49}">
            <x16:modelTimeGroupings>
              <x16:modelTimeGrouping tableName="accounts" columnName="Open_Date" columnId="Open_Date">
                <x16:calculatedTimeColumn columnName="Open_Date (Year)" columnId="Open_Date (Year)" contentType="years" isSelected="1"/>
                <x16:calculatedTimeColumn columnName="Open_Date (Quarter)" columnId="Open_Date (Quarter)" contentType="quarters" isSelected="1"/>
                <x16:calculatedTimeColumn columnName="Open_Date (Month Index)" columnId="Open_Date (Month Index)" contentType="monthsindex" isSelected="1"/>
                <x16:calculatedTimeColumn columnName="Open_Date (Month)" columnId="Ope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AB449E-0240-494C-8C9D-345E4F1595C3}" name="Excel mb" type="100" refreshedVersion="0">
    <extLst>
      <ext xmlns:x15="http://schemas.microsoft.com/office/spreadsheetml/2010/11/main" uri="{DE250136-89BD-433C-8126-D09CA5730AF9}">
        <x15:connection id="548bc398-a354-47a2-8242-c26333ab9b85"/>
      </ext>
    </extLst>
  </connection>
  <connection id="2" xr16:uid="{E6DD056A-3044-425E-BF07-04AFE27E1E8F}" name="Query - accounts" description="Connection to the 'accounts' query in the workbook." type="100" refreshedVersion="8" minRefreshableVersion="5">
    <extLst>
      <ext xmlns:x15="http://schemas.microsoft.com/office/spreadsheetml/2010/11/main" uri="{DE250136-89BD-433C-8126-D09CA5730AF9}">
        <x15:connection id="d37f48c8-2e1c-4281-ad50-0bb85ac9cc4c"/>
      </ext>
    </extLst>
  </connection>
  <connection id="3" xr16:uid="{1244D789-CEB6-446F-8115-328B03AD672F}"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4" xr16:uid="{A77B23AA-AAF4-4CD2-B5BC-185F7F4281C9}" name="Query - Measures" description="Connection to the 'Measures' query in the workbook." type="100" refreshedVersion="8" minRefreshableVersion="5">
    <extLst>
      <ext xmlns:x15="http://schemas.microsoft.com/office/spreadsheetml/2010/11/main" uri="{DE250136-89BD-433C-8126-D09CA5730AF9}">
        <x15:connection id="d1919922-ece5-4aa1-bf67-390f86b678b5"/>
      </ext>
    </extLst>
  </connection>
  <connection id="5" xr16:uid="{570923C0-EEBA-4E32-B1AC-F0FFF99CB78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<sst xmlns="http://schemas.openxmlformats.org/spreadsheetml/2006/main" count="71" uniqueCount="52">
  <si>
    <t>KPIs &amp; Metrics</t>
  </si>
  <si>
    <t>TOTAL DEPOSIT BALANCE</t>
  </si>
  <si>
    <t>TOTAL CUSTOMERS</t>
  </si>
  <si>
    <t>TOTAL APPROVED LOAN</t>
  </si>
  <si>
    <t>Row Labels</t>
  </si>
  <si>
    <t>Checking</t>
  </si>
  <si>
    <t>CreditCard</t>
  </si>
  <si>
    <t>Loan</t>
  </si>
  <si>
    <t>Savings</t>
  </si>
  <si>
    <t>PRODUCTS PER CUSTOMER</t>
  </si>
  <si>
    <t>CUSTOMERS WITH &gt;1 PRODUCTS</t>
  </si>
  <si>
    <t>What is the distribution of account types?</t>
  </si>
  <si>
    <t>What is the total deposit balance &amp; What is the total value of the approved loan book?</t>
  </si>
  <si>
    <t>AVERAGE CREDIT SCORE</t>
  </si>
  <si>
    <t>Approved</t>
  </si>
  <si>
    <t>Rejected</t>
  </si>
  <si>
    <t>What is the average credit score of our customers? Is there a clear difference in credit score between customers who were approved for a loan vs. those who were rejected?</t>
  </si>
  <si>
    <t>AVERAGE BALANCE</t>
  </si>
  <si>
    <t>Corporate</t>
  </si>
  <si>
    <t>Private</t>
  </si>
  <si>
    <t>Retail</t>
  </si>
  <si>
    <t>Boomers</t>
  </si>
  <si>
    <t>Gen X</t>
  </si>
  <si>
    <t>Gen Z</t>
  </si>
  <si>
    <t>Millennials</t>
  </si>
  <si>
    <t>Which customer segment  has the highest 
average balance &amp; do older customers hold significantly higher balances than 
younger ones?</t>
  </si>
  <si>
    <t>2015</t>
  </si>
  <si>
    <t>2016</t>
  </si>
  <si>
    <t>2017</t>
  </si>
  <si>
    <t>2018</t>
  </si>
  <si>
    <t>2019</t>
  </si>
  <si>
    <t>2020</t>
  </si>
  <si>
    <t>2021</t>
  </si>
  <si>
    <t>2022</t>
  </si>
  <si>
    <t>2023</t>
  </si>
  <si>
    <t>2024</t>
  </si>
  <si>
    <t>2025</t>
  </si>
  <si>
    <t>Total Deposits along the years</t>
  </si>
  <si>
    <t>CUST0035</t>
  </si>
  <si>
    <t>CUST0047</t>
  </si>
  <si>
    <t>CUST0431</t>
  </si>
  <si>
    <t>CUST0432</t>
  </si>
  <si>
    <t>CUST0476</t>
  </si>
  <si>
    <t>Banker</t>
  </si>
  <si>
    <t>Doctor</t>
  </si>
  <si>
    <t>Engineer</t>
  </si>
  <si>
    <t>Retired</t>
  </si>
  <si>
    <t>Student</t>
  </si>
  <si>
    <t>Teacher</t>
  </si>
  <si>
    <t>Trader</t>
  </si>
  <si>
    <t>Occupation with the Highest Balance</t>
  </si>
  <si>
    <t>Top Customer balances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</si>
</sst>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0.00\);\$#,##0.00"/>
  </numFmts>
  <fonts count="3" x14ac:knownFonts="1">
    <font>
      <sz val="11"/>
      <color theme="1"/>
      <name val="Aptos Narrow"/>
      <family val="2"/>
      <scheme val="minor"/>
    </font>
    <font>
      <b/>
      <sz val="11"/>
      <color theme="1"/>
      <name val="Aptos Narrow"/>
      <family val="2"/>
      <scheme val="minor"/>
    </font>
    <font>
      <b/>
      <sz val="18"/>
      <color theme="1"/>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 fillId="0" borderId="0" xfId="0" applyFont="1" applyAlignment="1">
      <alignment horizontal="center"/>
    </xf>
    <xf numFmtId="44" fontId="0" fillId="0" borderId="0" xfId="0" applyNumberFormat="1"/>
    <xf numFmtId="0" fontId="1" fillId="0" borderId="0" xfId="0" applyFont="1" applyAlignment="1">
      <alignment horizontal="center"/>
    </xf>
    <xf numFmtId="0" fontId="0" fillId="2" borderId="0" xfId="0" applyFill="1"/>
    <xf numFmtId="0" fontId="0" fillId="0" borderId="0" xfId="0" applyNumberFormat="1"/>
    <xf numFmtId="0" fontId="1" fillId="0" borderId="0" xfId="0" applyFont="1" applyAlignment="1">
      <alignment horizontal="left"/>
    </xf>
    <xf numFmtId="0" fontId="1" fillId="0" borderId="0" xfId="0" applyFont="1"/>
  </cellXfs>
  <cellStyles count="1">
    <cellStyle name="Normal" xfId="0" builtinId="0"/>
  </cellStyles>
  <dxfs count="5">
    <dxf>
      <numFmt numFmtId="34" formatCode="_(&quot;$&quot;* #,##0.00_);_(&quot;$&quot;* \(#,##0.00\);_(&quot;$&quot;* &quot;-&quot;??_);_(@_)"/>
    </dxf>
    <dxf>
      <numFmt numFmtId="1" formatCode="0"/>
    </dxf>
    <dxf>
      <numFmt numFmtId="34" formatCode="_(&quot;$&quot;* #,##0.00_);_(&quot;$&quot;* \(#,##0.00\);_(&quot;$&quot;* &quot;-&quot;??_);_(@_)"/>
    </dxf>
    <dxf>
      <numFmt numFmtId="1" formatCode="0"/>
    </dxf>
    <dxf>
      <numFmt numFmtId="1" formatCode="0"/>
    </dxf>
  </dxfs>
  <tableStyles count="0" defaultTableStyle="TableStyleMedium2" defaultPivotStyle="PivotStyleLight16"/>
  <colors>
    <mruColors>
      <color rgb="FF948979"/>
      <color rgb="FFDFD0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[mb w2.xlsx]Calculation!PivotTable2</c:name>
    <c:fmtId val="3"/>
  </c:pivotSource>
  <c:chart>
    <c:autoTitleDeleted val="1"/>
    <c:pivotFmts>
      <c:pivotFmt>
        <c:idx val="0"/>
        <c:spPr>
          <a:solidFill>
            <a:srgbClr val="9489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FD0B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489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FD0B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489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FD0B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Calculation!$B$7</c:f>
              <c:strCache>
                <c:ptCount val="1"/>
                <c:pt idx="0">
                  <c:v>Total</c:v>
                </c:pt>
              </c:strCache>
            </c:strRef>
          </c:tx>
          <c:spPr>
            <a:solidFill>
              <a:srgbClr val="94897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FD0B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Calculation!$A$8:$A$11</c:f>
              <c:strCache>
                <c:ptCount val="4"/>
                <c:pt idx="0">
                  <c:v>Checking</c:v>
                </c:pt>
                <c:pt idx="1">
                  <c:v>CreditCard</c:v>
                </c:pt>
                <c:pt idx="2">
                  <c:v>Loan</c:v>
                </c:pt>
                <c:pt idx="3">
                  <c:v>Savings</c:v>
                </c:pt>
              </c:strCache>
            </c:strRef>
          </c:cat>
          <c:val>
            <c:numRef>
              <c:f>Calculation!$B$8:$B$11</c:f>
              <c:numCache>
                <c:formatCode>General</c:formatCode>
                <c:ptCount val="4"/>
                <c:pt idx="0">
                  <c:v>190</c:v>
                </c:pt>
                <c:pt idx="1">
                  <c:v>143</c:v>
                </c:pt>
                <c:pt idx="2">
                  <c:v>81</c:v>
                </c:pt>
                <c:pt idx="3">
                  <c:v>235</c:v>
                </c:pt>
              </c:numCache>
            </c:numRef>
          </c:val>
          <c:extLst>
            <c:ext xmlns:c16="http://schemas.microsoft.com/office/drawing/2014/chart" uri="{C3380CC4-5D6E-409C-BE32-E72D297353CC}">
              <c16:uniqueId val="{00000000-2E29-4970-925A-62535608E939}"/>
            </c:ext>
          </c:extLst>
        </c:ser>
        <c:dLbls>
          <c:showLegendKey val="0"/>
          <c:showVal val="0"/>
          <c:showCatName val="0"/>
          <c:showSerName val="0"/>
          <c:showPercent val="0"/>
          <c:showBubbleSize val="0"/>
        </c:dLbls>
        <c:gapWidth val="219"/>
        <c:overlap val="-27"/>
        <c:axId val="1261130591"/>
        <c:axId val="1261131071"/>
      </c:barChart>
      <c:catAx>
        <c:axId val="12611305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261131071"/>
        <c:crosses val="autoZero"/>
        <c:auto val="1"/>
        <c:lblAlgn val="ctr"/>
        <c:lblOffset val="100"/>
        <c:noMultiLvlLbl val="0"/>
      </c:catAx>
      <c:valAx>
        <c:axId val="1261131071"/>
        <c:scaling>
          <c:orientation val="minMax"/>
        </c:scaling>
        <c:delete val="1"/>
        <c:axPos val="l"/>
        <c:numFmt formatCode="General" sourceLinked="1"/>
        <c:majorTickMark val="none"/>
        <c:minorTickMark val="none"/>
        <c:tickLblPos val="nextTo"/>
        <c:crossAx val="126113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[mb w2.xlsx]Calculation!PivotTable5</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48979"/>
          </a:solidFill>
          <a:ln w="19050">
            <a:noFill/>
          </a:ln>
          <a:effectLst/>
        </c:spPr>
        <c:dLbl>
          <c:idx val="0"/>
          <c:layout>
            <c:manualLayout>
              <c:x val="-0.17634691013330056"/>
              <c:y val="-0.31625392821058018"/>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48979"/>
          </a:solidFill>
          <a:ln w="19050">
            <a:noFill/>
          </a:ln>
          <a:effectLst/>
        </c:spPr>
        <c:dLbl>
          <c:idx val="0"/>
          <c:layout>
            <c:manualLayout>
              <c:x val="-0.17634691013330056"/>
              <c:y val="-0.31625392821058018"/>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48979"/>
          </a:solidFill>
          <a:ln w="19050">
            <a:noFill/>
          </a:ln>
          <a:effectLst/>
        </c:spPr>
        <c:dLbl>
          <c:idx val="0"/>
          <c:layout>
            <c:manualLayout>
              <c:x val="-0.22890010758917487"/>
              <c:y val="-0.25001706895668846"/>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noFill/>
          <a:ln w="19050">
            <a:noFill/>
          </a:ln>
          <a:effectLst/>
        </c:spPr>
      </c:pivotFmt>
    </c:pivotFmts>
    <c:plotArea>
      <c:layout/>
      <c:doughnutChart>
        <c:varyColors val="1"/>
        <c:ser>
          <c:idx val="0"/>
          <c:order val="0"/>
          <c:tx>
            <c:strRef>
              <c:f>Calculation!$D$20</c:f>
              <c:strCache>
                <c:ptCount val="1"/>
                <c:pt idx="0">
                  <c:v>Total</c:v>
                </c:pt>
              </c:strCache>
            </c:strRef>
          </c:tx>
          <c:spPr>
            <a:ln>
              <a:noFill/>
            </a:ln>
          </c:spPr>
          <c:dPt>
            <c:idx val="0"/>
            <c:bubble3D val="0"/>
            <c:spPr>
              <a:solidFill>
                <a:srgbClr val="948979"/>
              </a:solidFill>
              <a:ln w="19050">
                <a:noFill/>
              </a:ln>
              <a:effectLst/>
            </c:spPr>
            <c:extLst>
              <c:ext xmlns:c16="http://schemas.microsoft.com/office/drawing/2014/chart" uri="{C3380CC4-5D6E-409C-BE32-E72D297353CC}">
                <c16:uniqueId val="{00000001-4857-4479-8621-57D823C6E785}"/>
              </c:ext>
            </c:extLst>
          </c:dPt>
          <c:dPt>
            <c:idx val="1"/>
            <c:bubble3D val="0"/>
            <c:spPr>
              <a:noFill/>
              <a:ln w="19050">
                <a:noFill/>
              </a:ln>
              <a:effectLst/>
            </c:spPr>
            <c:extLst>
              <c:ext xmlns:c16="http://schemas.microsoft.com/office/drawing/2014/chart" uri="{C3380CC4-5D6E-409C-BE32-E72D297353CC}">
                <c16:uniqueId val="{00000003-4857-4479-8621-57D823C6E785}"/>
              </c:ext>
            </c:extLst>
          </c:dPt>
          <c:dLbls>
            <c:dLbl>
              <c:idx val="0"/>
              <c:layout>
                <c:manualLayout>
                  <c:x val="-0.22890010758917487"/>
                  <c:y val="-0.25001706895668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57-4479-8621-57D823C6E785}"/>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Calculation!$C$21:$C$22</c:f>
              <c:strCache>
                <c:ptCount val="2"/>
                <c:pt idx="0">
                  <c:v>Approved</c:v>
                </c:pt>
                <c:pt idx="1">
                  <c:v>Rejected</c:v>
                </c:pt>
              </c:strCache>
            </c:strRef>
          </c:cat>
          <c:val>
            <c:numRef>
              <c:f>Calculation!$D$21:$D$22</c:f>
              <c:numCache>
                <c:formatCode>0</c:formatCode>
                <c:ptCount val="2"/>
                <c:pt idx="0">
                  <c:v>580.50877192982455</c:v>
                </c:pt>
                <c:pt idx="1">
                  <c:v>591.8115942028985</c:v>
                </c:pt>
              </c:numCache>
            </c:numRef>
          </c:val>
          <c:extLst>
            <c:ext xmlns:c16="http://schemas.microsoft.com/office/drawing/2014/chart" uri="{C3380CC4-5D6E-409C-BE32-E72D297353CC}">
              <c16:uniqueId val="{00000004-4857-4479-8621-57D823C6E78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3.6733628185731303E-2"/>
          <c:y val="1.8787362071915656E-2"/>
          <c:w val="0.90629609914124509"/>
          <c:h val="6.4200755537957122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[mb w2.xlsx]Calculation!PivotTable5</c:name>
    <c:fmtId val="8"/>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FD0B8"/>
          </a:solidFill>
          <a:ln w="19050">
            <a:noFill/>
          </a:ln>
          <a:effectLst/>
        </c:spPr>
        <c:dLbl>
          <c:idx val="0"/>
          <c:layout>
            <c:manualLayout>
              <c:x val="0.16781857166003009"/>
              <c:y val="-0.3457709648382449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19050">
            <a:noFill/>
          </a:ln>
          <a:effectLst/>
        </c:spPr>
      </c:pivotFmt>
      <c:pivotFmt>
        <c:idx val="5"/>
        <c:spPr>
          <a:solidFill>
            <a:srgbClr val="DFD0B8"/>
          </a:solidFill>
          <a:ln w="19050">
            <a:noFill/>
          </a:ln>
          <a:effectLst/>
        </c:spPr>
        <c:dLbl>
          <c:idx val="0"/>
          <c:layout>
            <c:manualLayout>
              <c:x val="0.16781857166003009"/>
              <c:y val="-0.3457709648382449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19050">
            <a:noFill/>
          </a:ln>
          <a:effectLst/>
        </c:spPr>
      </c:pivotFmt>
      <c:pivotFmt>
        <c:idx val="8"/>
        <c:spPr>
          <a:solidFill>
            <a:srgbClr val="DFD0B8"/>
          </a:solidFill>
          <a:ln w="19050">
            <a:noFill/>
          </a:ln>
          <a:effectLst/>
        </c:spPr>
        <c:dLbl>
          <c:idx val="0"/>
          <c:layout>
            <c:manualLayout>
              <c:x val="-0.17575102330894238"/>
              <c:y val="-0.2844660782815221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67360561865289"/>
          <c:y val="0.10890358341120578"/>
          <c:w val="0.21465310512828625"/>
          <c:h val="0.61977969178041525"/>
        </c:manualLayout>
      </c:layout>
      <c:doughnutChart>
        <c:varyColors val="1"/>
        <c:ser>
          <c:idx val="0"/>
          <c:order val="0"/>
          <c:tx>
            <c:strRef>
              <c:f>Calculation!$D$20</c:f>
              <c:strCache>
                <c:ptCount val="1"/>
                <c:pt idx="0">
                  <c:v>Total</c:v>
                </c:pt>
              </c:strCache>
            </c:strRef>
          </c:tx>
          <c:spPr>
            <a:ln>
              <a:noFill/>
            </a:ln>
          </c:spPr>
          <c:dPt>
            <c:idx val="0"/>
            <c:bubble3D val="0"/>
            <c:spPr>
              <a:noFill/>
              <a:ln w="19050">
                <a:noFill/>
              </a:ln>
              <a:effectLst/>
            </c:spPr>
            <c:extLst>
              <c:ext xmlns:c16="http://schemas.microsoft.com/office/drawing/2014/chart" uri="{C3380CC4-5D6E-409C-BE32-E72D297353CC}">
                <c16:uniqueId val="{00000001-901A-4AE4-9DAF-963B18EC4ACC}"/>
              </c:ext>
            </c:extLst>
          </c:dPt>
          <c:dPt>
            <c:idx val="1"/>
            <c:bubble3D val="0"/>
            <c:spPr>
              <a:solidFill>
                <a:srgbClr val="DFD0B8"/>
              </a:solidFill>
              <a:ln w="19050">
                <a:noFill/>
              </a:ln>
              <a:effectLst/>
            </c:spPr>
            <c:extLst>
              <c:ext xmlns:c16="http://schemas.microsoft.com/office/drawing/2014/chart" uri="{C3380CC4-5D6E-409C-BE32-E72D297353CC}">
                <c16:uniqueId val="{00000003-901A-4AE4-9DAF-963B18EC4ACC}"/>
              </c:ext>
            </c:extLst>
          </c:dPt>
          <c:dLbls>
            <c:dLbl>
              <c:idx val="1"/>
              <c:layout>
                <c:manualLayout>
                  <c:x val="-0.17575102330894238"/>
                  <c:y val="-0.284466078281522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1A-4AE4-9DAF-963B18EC4AC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Calculation!$C$21:$C$22</c:f>
              <c:strCache>
                <c:ptCount val="2"/>
                <c:pt idx="0">
                  <c:v>Approved</c:v>
                </c:pt>
                <c:pt idx="1">
                  <c:v>Rejected</c:v>
                </c:pt>
              </c:strCache>
            </c:strRef>
          </c:cat>
          <c:val>
            <c:numRef>
              <c:f>Calculation!$D$21:$D$22</c:f>
              <c:numCache>
                <c:formatCode>0</c:formatCode>
                <c:ptCount val="2"/>
                <c:pt idx="0">
                  <c:v>580.50877192982455</c:v>
                </c:pt>
                <c:pt idx="1">
                  <c:v>591.8115942028985</c:v>
                </c:pt>
              </c:numCache>
            </c:numRef>
          </c:val>
          <c:extLst>
            <c:ext xmlns:c16="http://schemas.microsoft.com/office/drawing/2014/chart" uri="{C3380CC4-5D6E-409C-BE32-E72D297353CC}">
              <c16:uniqueId val="{00000004-901A-4AE4-9DAF-963B18EC4ACC}"/>
            </c:ext>
          </c:extLst>
        </c:ser>
        <c:dLbls>
          <c:showLegendKey val="0"/>
          <c:showVal val="0"/>
          <c:showCatName val="0"/>
          <c:showSerName val="0"/>
          <c:showPercent val="0"/>
          <c:showBubbleSize val="0"/>
          <c:showLeaderLines val="0"/>
        </c:dLbls>
        <c:firstSliceAng val="18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[mb w2.xlsx]Calculation!PivotTable8</c:name>
    <c:fmtId val="3"/>
  </c:pivotSource>
  <c:chart>
    <c:autoTitleDeleted val="1"/>
    <c:pivotFmts>
      <c:pivotFmt>
        <c:idx val="0"/>
        <c:spPr>
          <a:solidFill>
            <a:schemeClr val="accent1"/>
          </a:solidFill>
          <a:ln w="28575" cap="rnd">
            <a:solidFill>
              <a:srgbClr val="94897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4897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4897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751634419576641E-2"/>
          <c:y val="6.5758757583382246E-2"/>
          <c:w val="0.93946215789023235"/>
          <c:h val="0.75208490592412403"/>
        </c:manualLayout>
      </c:layout>
      <c:lineChart>
        <c:grouping val="standard"/>
        <c:varyColors val="0"/>
        <c:ser>
          <c:idx val="0"/>
          <c:order val="0"/>
          <c:tx>
            <c:strRef>
              <c:f>Calculation!$B$33</c:f>
              <c:strCache>
                <c:ptCount val="1"/>
                <c:pt idx="0">
                  <c:v>Total</c:v>
                </c:pt>
              </c:strCache>
            </c:strRef>
          </c:tx>
          <c:spPr>
            <a:ln w="28575" cap="rnd">
              <a:solidFill>
                <a:srgbClr val="948979"/>
              </a:solidFill>
              <a:round/>
            </a:ln>
            <a:effectLst/>
          </c:spPr>
          <c:marker>
            <c:symbol val="none"/>
          </c:marker>
          <c:cat>
            <c:strRef>
              <c:f>Calculation!$A$34:$A$44</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Calculation!$B$34:$B$44</c:f>
              <c:numCache>
                <c:formatCode>\$#,##0.00;\(\$#,##0.00\);\$#,##0.00</c:formatCode>
                <c:ptCount val="11"/>
                <c:pt idx="0">
                  <c:v>8601132</c:v>
                </c:pt>
                <c:pt idx="1">
                  <c:v>19620986</c:v>
                </c:pt>
                <c:pt idx="2">
                  <c:v>17464395</c:v>
                </c:pt>
                <c:pt idx="3">
                  <c:v>23479359</c:v>
                </c:pt>
                <c:pt idx="4">
                  <c:v>20215012</c:v>
                </c:pt>
                <c:pt idx="5">
                  <c:v>23565000</c:v>
                </c:pt>
                <c:pt idx="6">
                  <c:v>17705709</c:v>
                </c:pt>
                <c:pt idx="7">
                  <c:v>16583875</c:v>
                </c:pt>
                <c:pt idx="8">
                  <c:v>23273328</c:v>
                </c:pt>
                <c:pt idx="9">
                  <c:v>26602732</c:v>
                </c:pt>
                <c:pt idx="10">
                  <c:v>15229606</c:v>
                </c:pt>
              </c:numCache>
            </c:numRef>
          </c:val>
          <c:smooth val="1"/>
          <c:extLst>
            <c:ext xmlns:c16="http://schemas.microsoft.com/office/drawing/2014/chart" uri="{C3380CC4-5D6E-409C-BE32-E72D297353CC}">
              <c16:uniqueId val="{00000000-C06E-4A65-BCD7-F1C6BCE69189}"/>
            </c:ext>
          </c:extLst>
        </c:ser>
        <c:dLbls>
          <c:showLegendKey val="0"/>
          <c:showVal val="0"/>
          <c:showCatName val="0"/>
          <c:showSerName val="0"/>
          <c:showPercent val="0"/>
          <c:showBubbleSize val="0"/>
        </c:dLbls>
        <c:smooth val="0"/>
        <c:axId val="1377099583"/>
        <c:axId val="1377097183"/>
      </c:lineChart>
      <c:catAx>
        <c:axId val="13770995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377097183"/>
        <c:crosses val="autoZero"/>
        <c:auto val="1"/>
        <c:lblAlgn val="ctr"/>
        <c:lblOffset val="100"/>
        <c:noMultiLvlLbl val="0"/>
      </c:catAx>
      <c:valAx>
        <c:axId val="1377097183"/>
        <c:scaling>
          <c:orientation val="minMax"/>
        </c:scaling>
        <c:delete val="1"/>
        <c:axPos val="l"/>
        <c:numFmt formatCode="\$#,##0.00;\(\$#,##0.00\);\$#,##0.00" sourceLinked="1"/>
        <c:majorTickMark val="out"/>
        <c:minorTickMark val="none"/>
        <c:tickLblPos val="nextTo"/>
        <c:crossAx val="137709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[mb w2.xlsx]Calculation!PivotTable7</c:name>
    <c:fmtId val="3"/>
  </c:pivotSource>
  <c:chart>
    <c:autoTitleDeleted val="0"/>
    <c:pivotFmts>
      <c:pivotFmt>
        <c:idx val="0"/>
        <c:spPr>
          <a:solidFill>
            <a:srgbClr val="948979"/>
          </a:solidFill>
          <a:ln>
            <a:noFill/>
          </a:ln>
          <a:effectLst/>
        </c:spPr>
        <c:marker>
          <c:symbol val="none"/>
        </c:marker>
      </c:pivotFmt>
      <c:pivotFmt>
        <c:idx val="1"/>
        <c:spPr>
          <a:solidFill>
            <a:srgbClr val="DFD0B8"/>
          </a:solidFill>
          <a:ln>
            <a:noFill/>
          </a:ln>
          <a:effectLst/>
        </c:spPr>
        <c:marker>
          <c:symbol val="none"/>
        </c:marker>
      </c:pivotFmt>
      <c:pivotFmt>
        <c:idx val="2"/>
        <c:spPr>
          <a:solidFill>
            <a:srgbClr val="9489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FD0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48979"/>
          </a:solidFill>
          <a:ln>
            <a:noFill/>
          </a:ln>
          <a:effectLst/>
        </c:spPr>
        <c:marker>
          <c:symbol val="none"/>
        </c:marker>
      </c:pivotFmt>
      <c:pivotFmt>
        <c:idx val="5"/>
        <c:spPr>
          <a:solidFill>
            <a:srgbClr val="DFD0B8"/>
          </a:solidFill>
          <a:ln>
            <a:noFill/>
          </a:ln>
          <a:effectLst/>
        </c:spPr>
        <c:marker>
          <c:symbol val="none"/>
        </c:marker>
      </c:pivotFmt>
    </c:pivotFmts>
    <c:plotArea>
      <c:layout/>
      <c:barChart>
        <c:barDir val="col"/>
        <c:grouping val="percentStacked"/>
        <c:varyColors val="0"/>
        <c:ser>
          <c:idx val="0"/>
          <c:order val="0"/>
          <c:tx>
            <c:strRef>
              <c:f>Calculation!$B$26</c:f>
              <c:strCache>
                <c:ptCount val="1"/>
                <c:pt idx="0">
                  <c:v>TOTAL DEPOSIT BALANCE</c:v>
                </c:pt>
              </c:strCache>
            </c:strRef>
          </c:tx>
          <c:spPr>
            <a:solidFill>
              <a:srgbClr val="948979"/>
            </a:solidFill>
            <a:ln>
              <a:noFill/>
            </a:ln>
            <a:effectLst/>
          </c:spPr>
          <c:invertIfNegative val="0"/>
          <c:dLbls>
            <c:delete val="1"/>
          </c:dLbls>
          <c:cat>
            <c:strRef>
              <c:f>Calculation!$A$27:$A$29</c:f>
              <c:strCache>
                <c:ptCount val="3"/>
                <c:pt idx="0">
                  <c:v>Corporate</c:v>
                </c:pt>
                <c:pt idx="1">
                  <c:v>Private</c:v>
                </c:pt>
                <c:pt idx="2">
                  <c:v>Retail</c:v>
                </c:pt>
              </c:strCache>
            </c:strRef>
          </c:cat>
          <c:val>
            <c:numRef>
              <c:f>Calculation!$B$27:$B$29</c:f>
              <c:numCache>
                <c:formatCode>_("$"* #,##0.00_);_("$"* \(#,##0.00\);_("$"* "-"??_);_(@_)</c:formatCode>
                <c:ptCount val="3"/>
                <c:pt idx="0">
                  <c:v>65643462</c:v>
                </c:pt>
                <c:pt idx="1">
                  <c:v>20358411</c:v>
                </c:pt>
                <c:pt idx="2">
                  <c:v>126339261</c:v>
                </c:pt>
              </c:numCache>
            </c:numRef>
          </c:val>
          <c:extLst>
            <c:ext xmlns:c16="http://schemas.microsoft.com/office/drawing/2014/chart" uri="{C3380CC4-5D6E-409C-BE32-E72D297353CC}">
              <c16:uniqueId val="{00000000-428F-4050-BAEE-EB336BDCEBA4}"/>
            </c:ext>
          </c:extLst>
        </c:ser>
        <c:ser>
          <c:idx val="1"/>
          <c:order val="1"/>
          <c:tx>
            <c:strRef>
              <c:f>Calculation!$C$26</c:f>
              <c:strCache>
                <c:ptCount val="1"/>
                <c:pt idx="0">
                  <c:v>AVERAGE BALANCE</c:v>
                </c:pt>
              </c:strCache>
            </c:strRef>
          </c:tx>
          <c:spPr>
            <a:solidFill>
              <a:srgbClr val="DFD0B8"/>
            </a:solidFill>
            <a:ln>
              <a:noFill/>
            </a:ln>
            <a:effectLst/>
          </c:spPr>
          <c:invertIfNegative val="0"/>
          <c:dLbls>
            <c:delete val="1"/>
          </c:dLbls>
          <c:cat>
            <c:strRef>
              <c:f>Calculation!$A$27:$A$29</c:f>
              <c:strCache>
                <c:ptCount val="3"/>
                <c:pt idx="0">
                  <c:v>Corporate</c:v>
                </c:pt>
                <c:pt idx="1">
                  <c:v>Private</c:v>
                </c:pt>
                <c:pt idx="2">
                  <c:v>Retail</c:v>
                </c:pt>
              </c:strCache>
            </c:strRef>
          </c:cat>
          <c:val>
            <c:numRef>
              <c:f>Calculation!$C$27:$C$29</c:f>
              <c:numCache>
                <c:formatCode>_("$"* #,##0.00_);_("$"* \(#,##0.00\);_("$"* "-"??_);_(@_)</c:formatCode>
                <c:ptCount val="3"/>
                <c:pt idx="0">
                  <c:v>259460.32411067194</c:v>
                </c:pt>
                <c:pt idx="1">
                  <c:v>275113.66216216219</c:v>
                </c:pt>
                <c:pt idx="2">
                  <c:v>267102.03171247354</c:v>
                </c:pt>
              </c:numCache>
            </c:numRef>
          </c:val>
          <c:extLst>
            <c:ext xmlns:c16="http://schemas.microsoft.com/office/drawing/2014/chart" uri="{C3380CC4-5D6E-409C-BE32-E72D297353CC}">
              <c16:uniqueId val="{00000001-428F-4050-BAEE-EB336BDCEBA4}"/>
            </c:ext>
          </c:extLst>
        </c:ser>
        <c:dLbls>
          <c:dLblPos val="inEnd"/>
          <c:showLegendKey val="0"/>
          <c:showVal val="1"/>
          <c:showCatName val="0"/>
          <c:showSerName val="0"/>
          <c:showPercent val="0"/>
          <c:showBubbleSize val="0"/>
        </c:dLbls>
        <c:gapWidth val="150"/>
        <c:overlap val="100"/>
        <c:axId val="1152890943"/>
        <c:axId val="1152891903"/>
      </c:barChart>
      <c:catAx>
        <c:axId val="11528909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152891903"/>
        <c:crosses val="autoZero"/>
        <c:auto val="1"/>
        <c:lblAlgn val="ctr"/>
        <c:lblOffset val="100"/>
        <c:noMultiLvlLbl val="0"/>
      </c:catAx>
      <c:valAx>
        <c:axId val="1152891903"/>
        <c:scaling>
          <c:orientation val="minMax"/>
        </c:scaling>
        <c:delete val="1"/>
        <c:axPos val="l"/>
        <c:numFmt formatCode="0%" sourceLinked="1"/>
        <c:majorTickMark val="none"/>
        <c:minorTickMark val="none"/>
        <c:tickLblPos val="nextTo"/>
        <c:crossAx val="115289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[mb w2.xlsx]Calculation!PivotTable15</c:name>
    <c:fmtId val="3"/>
  </c:pivotSource>
  <c:chart>
    <c:autoTitleDeleted val="0"/>
    <c:pivotFmts>
      <c:pivotFmt>
        <c:idx val="0"/>
        <c:spPr>
          <a:solidFill>
            <a:srgbClr val="948979"/>
          </a:solidFill>
          <a:ln>
            <a:noFill/>
          </a:ln>
          <a:effectLst/>
        </c:spPr>
        <c:marker>
          <c:symbol val="none"/>
        </c:marker>
      </c:pivotFmt>
      <c:pivotFmt>
        <c:idx val="1"/>
        <c:spPr>
          <a:solidFill>
            <a:srgbClr val="DFD0B8"/>
          </a:solidFill>
          <a:ln>
            <a:noFill/>
          </a:ln>
          <a:effectLst/>
        </c:spPr>
        <c:marker>
          <c:symbol val="none"/>
        </c:marker>
      </c:pivotFmt>
      <c:pivotFmt>
        <c:idx val="2"/>
        <c:spPr>
          <a:solidFill>
            <a:srgbClr val="9489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FD0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489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FD0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48979"/>
          </a:solidFill>
          <a:ln>
            <a:noFill/>
          </a:ln>
          <a:effectLst/>
        </c:spPr>
        <c:marker>
          <c:symbol val="none"/>
        </c:marker>
      </c:pivotFmt>
      <c:pivotFmt>
        <c:idx val="7"/>
        <c:spPr>
          <a:solidFill>
            <a:srgbClr val="DFD0B8"/>
          </a:solidFill>
          <a:ln>
            <a:noFill/>
          </a:ln>
          <a:effectLst/>
        </c:spPr>
        <c:marker>
          <c:symbol val="none"/>
        </c:marker>
      </c:pivotFmt>
      <c:pivotFmt>
        <c:idx val="8"/>
        <c:spPr>
          <a:solidFill>
            <a:srgbClr val="9489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FD0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48979"/>
          </a:solidFill>
          <a:ln>
            <a:noFill/>
          </a:ln>
          <a:effectLst/>
        </c:spPr>
        <c:marker>
          <c:symbol val="none"/>
        </c:marker>
      </c:pivotFmt>
      <c:pivotFmt>
        <c:idx val="11"/>
        <c:spPr>
          <a:solidFill>
            <a:srgbClr val="DFD0B8"/>
          </a:solidFill>
          <a:ln>
            <a:noFill/>
          </a:ln>
          <a:effectLst/>
        </c:spPr>
        <c:marker>
          <c:symbol val="none"/>
        </c:marker>
      </c:pivotFmt>
    </c:pivotFmts>
    <c:plotArea>
      <c:layout/>
      <c:barChart>
        <c:barDir val="col"/>
        <c:grouping val="percentStacked"/>
        <c:varyColors val="0"/>
        <c:ser>
          <c:idx val="0"/>
          <c:order val="0"/>
          <c:tx>
            <c:strRef>
              <c:f>Calculation!$F$26</c:f>
              <c:strCache>
                <c:ptCount val="1"/>
                <c:pt idx="0">
                  <c:v>TOTAL DEPOSIT BALANCE</c:v>
                </c:pt>
              </c:strCache>
            </c:strRef>
          </c:tx>
          <c:spPr>
            <a:solidFill>
              <a:srgbClr val="948979"/>
            </a:solidFill>
            <a:ln>
              <a:noFill/>
            </a:ln>
            <a:effectLst/>
          </c:spPr>
          <c:invertIfNegative val="0"/>
          <c:dLbls>
            <c:delete val="1"/>
          </c:dLbls>
          <c:cat>
            <c:strRef>
              <c:f>Calculation!$E$27:$E$30</c:f>
              <c:strCache>
                <c:ptCount val="4"/>
                <c:pt idx="0">
                  <c:v>Boomers</c:v>
                </c:pt>
                <c:pt idx="1">
                  <c:v>Gen X</c:v>
                </c:pt>
                <c:pt idx="2">
                  <c:v>Gen Z</c:v>
                </c:pt>
                <c:pt idx="3">
                  <c:v>Millennials</c:v>
                </c:pt>
              </c:strCache>
            </c:strRef>
          </c:cat>
          <c:val>
            <c:numRef>
              <c:f>Calculation!$F$27:$F$30</c:f>
              <c:numCache>
                <c:formatCode>_("$"* #,##0.00_);_("$"* \(#,##0.00\);_("$"* "-"??_);_(@_)</c:formatCode>
                <c:ptCount val="4"/>
                <c:pt idx="0">
                  <c:v>46353718</c:v>
                </c:pt>
                <c:pt idx="1">
                  <c:v>59202044</c:v>
                </c:pt>
                <c:pt idx="2">
                  <c:v>39363617</c:v>
                </c:pt>
                <c:pt idx="3">
                  <c:v>67421755</c:v>
                </c:pt>
              </c:numCache>
            </c:numRef>
          </c:val>
          <c:extLst>
            <c:ext xmlns:c16="http://schemas.microsoft.com/office/drawing/2014/chart" uri="{C3380CC4-5D6E-409C-BE32-E72D297353CC}">
              <c16:uniqueId val="{00000000-66F2-49E3-8286-51600A1B069E}"/>
            </c:ext>
          </c:extLst>
        </c:ser>
        <c:ser>
          <c:idx val="1"/>
          <c:order val="1"/>
          <c:tx>
            <c:strRef>
              <c:f>Calculation!$G$26</c:f>
              <c:strCache>
                <c:ptCount val="1"/>
                <c:pt idx="0">
                  <c:v>AVERAGE BALANCE</c:v>
                </c:pt>
              </c:strCache>
            </c:strRef>
          </c:tx>
          <c:spPr>
            <a:solidFill>
              <a:srgbClr val="DFD0B8"/>
            </a:solidFill>
            <a:ln>
              <a:noFill/>
            </a:ln>
            <a:effectLst/>
          </c:spPr>
          <c:invertIfNegative val="0"/>
          <c:dLbls>
            <c:delete val="1"/>
          </c:dLbls>
          <c:cat>
            <c:strRef>
              <c:f>Calculation!$E$27:$E$30</c:f>
              <c:strCache>
                <c:ptCount val="4"/>
                <c:pt idx="0">
                  <c:v>Boomers</c:v>
                </c:pt>
                <c:pt idx="1">
                  <c:v>Gen X</c:v>
                </c:pt>
                <c:pt idx="2">
                  <c:v>Gen Z</c:v>
                </c:pt>
                <c:pt idx="3">
                  <c:v>Millennials</c:v>
                </c:pt>
              </c:strCache>
            </c:strRef>
          </c:cat>
          <c:val>
            <c:numRef>
              <c:f>Calculation!$G$27:$G$30</c:f>
              <c:numCache>
                <c:formatCode>_("$"* #,##0.00_);_("$"* \(#,##0.00\);_("$"* "-"??_);_(@_)</c:formatCode>
                <c:ptCount val="4"/>
                <c:pt idx="0">
                  <c:v>264878.38857142854</c:v>
                </c:pt>
                <c:pt idx="1">
                  <c:v>247707.29707112969</c:v>
                </c:pt>
                <c:pt idx="2">
                  <c:v>267779.7074829932</c:v>
                </c:pt>
                <c:pt idx="3">
                  <c:v>282099.39330543933</c:v>
                </c:pt>
              </c:numCache>
            </c:numRef>
          </c:val>
          <c:extLst>
            <c:ext xmlns:c16="http://schemas.microsoft.com/office/drawing/2014/chart" uri="{C3380CC4-5D6E-409C-BE32-E72D297353CC}">
              <c16:uniqueId val="{00000001-66F2-49E3-8286-51600A1B069E}"/>
            </c:ext>
          </c:extLst>
        </c:ser>
        <c:dLbls>
          <c:dLblPos val="inEnd"/>
          <c:showLegendKey val="0"/>
          <c:showVal val="1"/>
          <c:showCatName val="0"/>
          <c:showSerName val="0"/>
          <c:showPercent val="0"/>
          <c:showBubbleSize val="0"/>
        </c:dLbls>
        <c:gapWidth val="150"/>
        <c:overlap val="100"/>
        <c:axId val="1152890943"/>
        <c:axId val="1152891903"/>
      </c:barChart>
      <c:catAx>
        <c:axId val="11528909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152891903"/>
        <c:crosses val="autoZero"/>
        <c:auto val="1"/>
        <c:lblAlgn val="ctr"/>
        <c:lblOffset val="100"/>
        <c:noMultiLvlLbl val="0"/>
      </c:catAx>
      <c:valAx>
        <c:axId val="1152891903"/>
        <c:scaling>
          <c:orientation val="minMax"/>
        </c:scaling>
        <c:delete val="1"/>
        <c:axPos val="l"/>
        <c:numFmt formatCode="0%" sourceLinked="1"/>
        <c:majorTickMark val="none"/>
        <c:minorTickMark val="none"/>
        <c:tickLblPos val="nextTo"/>
        <c:crossAx val="11528909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[mb w2.xlsx]Calculation!PivotTable9</c:name>
    <c:fmtId val="7"/>
  </c:pivotSource>
  <c:chart>
    <c:autoTitleDeleted val="1"/>
    <c:pivotFmts>
      <c:pivotFmt>
        <c:idx val="0"/>
        <c:spPr>
          <a:solidFill>
            <a:srgbClr val="9489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489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489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489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s>
    <c:plotArea>
      <c:layout/>
      <c:barChart>
        <c:barDir val="bar"/>
        <c:grouping val="clustered"/>
        <c:varyColors val="0"/>
        <c:ser>
          <c:idx val="0"/>
          <c:order val="0"/>
          <c:tx>
            <c:strRef>
              <c:f>Calculation!$E$35</c:f>
              <c:strCache>
                <c:ptCount val="1"/>
                <c:pt idx="0">
                  <c:v>Total</c:v>
                </c:pt>
              </c:strCache>
            </c:strRef>
          </c:tx>
          <c:spPr>
            <a:solidFill>
              <a:srgbClr val="94897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Calculation!$D$36:$D$40</c:f>
              <c:strCache>
                <c:ptCount val="5"/>
                <c:pt idx="0">
                  <c:v>CUST0047</c:v>
                </c:pt>
                <c:pt idx="1">
                  <c:v>CUST0035</c:v>
                </c:pt>
                <c:pt idx="2">
                  <c:v>CUST0431</c:v>
                </c:pt>
                <c:pt idx="3">
                  <c:v>CUST0432</c:v>
                </c:pt>
                <c:pt idx="4">
                  <c:v>CUST0476</c:v>
                </c:pt>
              </c:strCache>
            </c:strRef>
          </c:cat>
          <c:val>
            <c:numRef>
              <c:f>Calculation!$E$36:$E$40</c:f>
              <c:numCache>
                <c:formatCode>\$#,##0.00;\(\$#,##0.00\);\$#,##0.00</c:formatCode>
                <c:ptCount val="5"/>
                <c:pt idx="0">
                  <c:v>1738619</c:v>
                </c:pt>
                <c:pt idx="1">
                  <c:v>1743749</c:v>
                </c:pt>
                <c:pt idx="2">
                  <c:v>1816183</c:v>
                </c:pt>
                <c:pt idx="3">
                  <c:v>1848827</c:v>
                </c:pt>
                <c:pt idx="4">
                  <c:v>1929701</c:v>
                </c:pt>
              </c:numCache>
            </c:numRef>
          </c:val>
          <c:extLst>
            <c:ext xmlns:c16="http://schemas.microsoft.com/office/drawing/2014/chart" uri="{C3380CC4-5D6E-409C-BE32-E72D297353CC}">
              <c16:uniqueId val="{00000001-DB7E-4041-B67D-94164F5458BB}"/>
            </c:ext>
          </c:extLst>
        </c:ser>
        <c:dLbls>
          <c:dLblPos val="outEnd"/>
          <c:showLegendKey val="0"/>
          <c:showVal val="1"/>
          <c:showCatName val="0"/>
          <c:showSerName val="0"/>
          <c:showPercent val="0"/>
          <c:showBubbleSize val="0"/>
        </c:dLbls>
        <c:gapWidth val="182"/>
        <c:axId val="1150759647"/>
        <c:axId val="663444560"/>
      </c:barChart>
      <c:catAx>
        <c:axId val="115075964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663444560"/>
        <c:crosses val="autoZero"/>
        <c:auto val="1"/>
        <c:lblAlgn val="ctr"/>
        <c:lblOffset val="100"/>
        <c:noMultiLvlLbl val="0"/>
      </c:catAx>
      <c:valAx>
        <c:axId val="663444560"/>
        <c:scaling>
          <c:orientation val="minMax"/>
        </c:scaling>
        <c:delete val="1"/>
        <c:axPos val="b"/>
        <c:numFmt formatCode="\$#,##0.00;\(\$#,##0.00\);\$#,##0.00" sourceLinked="1"/>
        <c:majorTickMark val="none"/>
        <c:minorTickMark val="none"/>
        <c:tickLblPos val="nextTo"/>
        <c:crossAx val="115075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[mb w2.xlsx]Calculation!PivotTable10</c:name>
    <c:fmtId val="19"/>
  </c:pivotSource>
  <c:chart>
    <c:autoTitleDeleted val="1"/>
    <c:pivotFmts>
      <c:pivotFmt>
        <c:idx val="0"/>
        <c:spPr>
          <a:solidFill>
            <a:srgbClr val="9489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FD0B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489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FD0B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489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FD0B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48979"/>
          </a:solidFill>
          <a:ln>
            <a:noFill/>
          </a:ln>
          <a:effectLst/>
        </c:spPr>
        <c:marker>
          <c:symbol val="none"/>
        </c:marker>
      </c:pivotFmt>
      <c:pivotFmt>
        <c:idx val="4"/>
        <c:spPr>
          <a:solidFill>
            <a:srgbClr val="9489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489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Calculation!$H$35</c:f>
              <c:strCache>
                <c:ptCount val="1"/>
                <c:pt idx="0">
                  <c:v>Total</c:v>
                </c:pt>
              </c:strCache>
            </c:strRef>
          </c:tx>
          <c:spPr>
            <a:solidFill>
              <a:srgbClr val="948979"/>
            </a:solidFill>
            <a:ln>
              <a:noFill/>
            </a:ln>
            <a:effectLst/>
          </c:spPr>
          <c:invertIfNegative val="0"/>
          <c:cat>
            <c:strRef>
              <c:f>Calculation!$G$36:$G$42</c:f>
              <c:strCache>
                <c:ptCount val="7"/>
                <c:pt idx="0">
                  <c:v>Banker</c:v>
                </c:pt>
                <c:pt idx="1">
                  <c:v>Doctor</c:v>
                </c:pt>
                <c:pt idx="2">
                  <c:v>Engineer</c:v>
                </c:pt>
                <c:pt idx="3">
                  <c:v>Retired</c:v>
                </c:pt>
                <c:pt idx="4">
                  <c:v>Student</c:v>
                </c:pt>
                <c:pt idx="5">
                  <c:v>Teacher</c:v>
                </c:pt>
                <c:pt idx="6">
                  <c:v>Trader</c:v>
                </c:pt>
              </c:strCache>
            </c:strRef>
          </c:cat>
          <c:val>
            <c:numRef>
              <c:f>Calculation!$H$36:$H$42</c:f>
              <c:numCache>
                <c:formatCode>\$#,##0.00;\(\$#,##0.00\);\$#,##0.00</c:formatCode>
                <c:ptCount val="7"/>
                <c:pt idx="0">
                  <c:v>26605667</c:v>
                </c:pt>
                <c:pt idx="1">
                  <c:v>31338780</c:v>
                </c:pt>
                <c:pt idx="2">
                  <c:v>33964875</c:v>
                </c:pt>
                <c:pt idx="3">
                  <c:v>31359468</c:v>
                </c:pt>
                <c:pt idx="4">
                  <c:v>28579760</c:v>
                </c:pt>
                <c:pt idx="5">
                  <c:v>32044598</c:v>
                </c:pt>
                <c:pt idx="6">
                  <c:v>28447986</c:v>
                </c:pt>
              </c:numCache>
            </c:numRef>
          </c:val>
          <c:extLst>
            <c:ext xmlns:c16="http://schemas.microsoft.com/office/drawing/2014/chart" uri="{C3380CC4-5D6E-409C-BE32-E72D297353CC}">
              <c16:uniqueId val="{00000000-FCA7-45C4-8A86-2BB927C02A90}"/>
            </c:ext>
          </c:extLst>
        </c:ser>
        <c:dLbls>
          <c:showLegendKey val="0"/>
          <c:showVal val="0"/>
          <c:showCatName val="0"/>
          <c:showSerName val="0"/>
          <c:showPercent val="0"/>
          <c:showBubbleSize val="0"/>
        </c:dLbls>
        <c:gapWidth val="219"/>
        <c:overlap val="-27"/>
        <c:axId val="1261130591"/>
        <c:axId val="1261131071"/>
      </c:barChart>
      <c:catAx>
        <c:axId val="12611305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261131071"/>
        <c:crosses val="autoZero"/>
        <c:auto val="1"/>
        <c:lblAlgn val="ctr"/>
        <c:lblOffset val="100"/>
        <c:noMultiLvlLbl val="0"/>
      </c:catAx>
      <c:valAx>
        <c:axId val="1261131071"/>
        <c:scaling>
          <c:orientation val="minMax"/>
        </c:scaling>
        <c:delete val="1"/>
        <c:axPos val="l"/>
        <c:numFmt formatCode="\$#,##0.00;\(\$#,##0.00\);\$#,##0.00" sourceLinked="1"/>
        <c:majorTickMark val="none"/>
        <c:minorTickMark val="none"/>
        <c:tickLblPos val="nextTo"/>
        <c:crossAx val="126113059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39</xdr:col>
      <xdr:colOff>266700</xdr:colOff>
      <xdr:row>56</xdr:row>
      <xdr:rowOff>144318</xdr:rowOff>
    </xdr:to>
    <xdr:sp macro="" textlink="">
      <xdr:nvSpPr>
        <xdr:cNvPr id="2" name="Rectangle 1">
          <a:extLst>
            <a:ext uri="{FF2B5EF4-FFF2-40B4-BE49-F238E27FC236}">
              <a16:creationId xmlns:a16="http://schemas.microsoft.com/office/drawing/2014/main" id="{B25D5DBE-6139-CC8B-39A2-183C8D7EDD01}"/>
            </a:ext>
          </a:extLst>
        </xdr:cNvPr>
        <xdr:cNvSpPr/>
      </xdr:nvSpPr>
      <xdr:spPr>
        <a:xfrm>
          <a:off x="0" y="0"/>
          <a:ext cx="24232829" cy="10468189"/>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419100</xdr:colOff>
      <xdr:row>3</xdr:row>
      <xdr:rowOff>152400</xdr:rowOff>
    </xdr:from>
    <xdr:to>
      <xdr:col>29</xdr:col>
      <xdr:colOff>419537</xdr:colOff>
      <xdr:row>41</xdr:row>
      <xdr:rowOff>12700</xdr:rowOff>
    </xdr:to>
    <xdr:grpSp>
      <xdr:nvGrpSpPr>
        <xdr:cNvPr id="3" name="Group 2">
          <a:extLst>
            <a:ext uri="{FF2B5EF4-FFF2-40B4-BE49-F238E27FC236}">
              <a16:creationId xmlns:a16="http://schemas.microsoft.com/office/drawing/2014/main" id="{ECB05B1F-58EB-2388-8B71-8E1F20E1B373}"/>
            </a:ext>
          </a:extLst>
        </xdr:cNvPr>
        <xdr:cNvGrpSpPr/>
      </xdr:nvGrpSpPr>
      <xdr:grpSpPr>
        <a:xfrm>
          <a:off x="5866209" y="717947"/>
          <a:ext cx="12105125" cy="7023894"/>
          <a:chOff x="0" y="0"/>
          <a:chExt cx="12192000" cy="6858000"/>
        </a:xfrm>
      </xdr:grpSpPr>
      <xdr:sp macro="" textlink="">
        <xdr:nvSpPr>
          <xdr:cNvPr id="4" name="Rectangle 3">
            <a:extLst>
              <a:ext uri="{FF2B5EF4-FFF2-40B4-BE49-F238E27FC236}">
                <a16:creationId xmlns:a16="http://schemas.microsoft.com/office/drawing/2014/main" id="{CBAD40DD-039A-9545-2BCD-337E6ABD6706}"/>
              </a:ext>
            </a:extLst>
          </xdr:cNvPr>
          <xdr:cNvSpPr/>
        </xdr:nvSpPr>
        <xdr:spPr>
          <a:xfrm>
            <a:off x="0" y="0"/>
            <a:ext cx="12192000" cy="6858000"/>
          </a:xfrm>
          <a:prstGeom prst="rect">
            <a:avLst/>
          </a:prstGeom>
          <a:solidFill>
            <a:schemeClr val="bg1">
              <a:lumMod val="50000"/>
            </a:schemeClr>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4">
            <a:extLst>
              <a:ext uri="{FF2B5EF4-FFF2-40B4-BE49-F238E27FC236}">
                <a16:creationId xmlns:a16="http://schemas.microsoft.com/office/drawing/2014/main" id="{3D7CA1ED-9FB1-F7D1-26B4-7F3C4902FDD7}"/>
              </a:ext>
            </a:extLst>
          </xdr:cNvPr>
          <xdr:cNvSpPr/>
        </xdr:nvSpPr>
        <xdr:spPr>
          <a:xfrm>
            <a:off x="144379" y="451185"/>
            <a:ext cx="1949116" cy="5955631"/>
          </a:xfrm>
          <a:prstGeom prst="rect">
            <a:avLst/>
          </a:prstGeom>
          <a:solidFill>
            <a:srgbClr val="222831"/>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 name="Rectangle 5">
            <a:extLst>
              <a:ext uri="{FF2B5EF4-FFF2-40B4-BE49-F238E27FC236}">
                <a16:creationId xmlns:a16="http://schemas.microsoft.com/office/drawing/2014/main" id="{C3EA450A-8363-D63A-43AA-187535B8A51F}"/>
              </a:ext>
            </a:extLst>
          </xdr:cNvPr>
          <xdr:cNvSpPr/>
        </xdr:nvSpPr>
        <xdr:spPr>
          <a:xfrm>
            <a:off x="292768" y="266702"/>
            <a:ext cx="1652337" cy="1098884"/>
          </a:xfrm>
          <a:prstGeom prst="rect">
            <a:avLst/>
          </a:prstGeom>
          <a:solidFill>
            <a:srgbClr val="393E46"/>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ectangle 6">
            <a:extLst>
              <a:ext uri="{FF2B5EF4-FFF2-40B4-BE49-F238E27FC236}">
                <a16:creationId xmlns:a16="http://schemas.microsoft.com/office/drawing/2014/main" id="{A53AA806-7DA5-064F-FCE5-3B3DE4841672}"/>
              </a:ext>
            </a:extLst>
          </xdr:cNvPr>
          <xdr:cNvSpPr/>
        </xdr:nvSpPr>
        <xdr:spPr>
          <a:xfrm>
            <a:off x="292767" y="1550069"/>
            <a:ext cx="1652337" cy="1098884"/>
          </a:xfrm>
          <a:prstGeom prst="rect">
            <a:avLst/>
          </a:prstGeom>
          <a:solidFill>
            <a:srgbClr val="393E46"/>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7">
            <a:extLst>
              <a:ext uri="{FF2B5EF4-FFF2-40B4-BE49-F238E27FC236}">
                <a16:creationId xmlns:a16="http://schemas.microsoft.com/office/drawing/2014/main" id="{F990828E-B72B-1BA5-FA5C-F2DCE9DEF490}"/>
              </a:ext>
            </a:extLst>
          </xdr:cNvPr>
          <xdr:cNvSpPr/>
        </xdr:nvSpPr>
        <xdr:spPr>
          <a:xfrm>
            <a:off x="292766" y="2833436"/>
            <a:ext cx="1652337" cy="1098884"/>
          </a:xfrm>
          <a:prstGeom prst="rect">
            <a:avLst/>
          </a:prstGeom>
          <a:solidFill>
            <a:srgbClr val="393E46"/>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Rectangle 8">
            <a:extLst>
              <a:ext uri="{FF2B5EF4-FFF2-40B4-BE49-F238E27FC236}">
                <a16:creationId xmlns:a16="http://schemas.microsoft.com/office/drawing/2014/main" id="{9DEC91F8-E9D2-5234-6045-016321F99F4D}"/>
              </a:ext>
            </a:extLst>
          </xdr:cNvPr>
          <xdr:cNvSpPr/>
        </xdr:nvSpPr>
        <xdr:spPr>
          <a:xfrm>
            <a:off x="292765" y="4116803"/>
            <a:ext cx="1652337" cy="1098884"/>
          </a:xfrm>
          <a:prstGeom prst="rect">
            <a:avLst/>
          </a:prstGeom>
          <a:solidFill>
            <a:srgbClr val="393E46"/>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Rectangle 9">
            <a:extLst>
              <a:ext uri="{FF2B5EF4-FFF2-40B4-BE49-F238E27FC236}">
                <a16:creationId xmlns:a16="http://schemas.microsoft.com/office/drawing/2014/main" id="{9C1CDD8A-B077-8A21-2BB2-D502C7CB64C2}"/>
              </a:ext>
            </a:extLst>
          </xdr:cNvPr>
          <xdr:cNvSpPr/>
        </xdr:nvSpPr>
        <xdr:spPr>
          <a:xfrm>
            <a:off x="292764" y="5400170"/>
            <a:ext cx="1652337" cy="1098884"/>
          </a:xfrm>
          <a:prstGeom prst="rect">
            <a:avLst/>
          </a:prstGeom>
          <a:solidFill>
            <a:srgbClr val="393E46"/>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 name="Rectangle 10">
            <a:extLst>
              <a:ext uri="{FF2B5EF4-FFF2-40B4-BE49-F238E27FC236}">
                <a16:creationId xmlns:a16="http://schemas.microsoft.com/office/drawing/2014/main" id="{677CE4A2-79FD-1779-2254-14CDA06C387F}"/>
              </a:ext>
            </a:extLst>
          </xdr:cNvPr>
          <xdr:cNvSpPr/>
        </xdr:nvSpPr>
        <xdr:spPr>
          <a:xfrm>
            <a:off x="2241880" y="4403558"/>
            <a:ext cx="3172328" cy="1732547"/>
          </a:xfrm>
          <a:prstGeom prst="rect">
            <a:avLst/>
          </a:prstGeom>
          <a:solidFill>
            <a:srgbClr val="393E46"/>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Rectangle 11">
            <a:extLst>
              <a:ext uri="{FF2B5EF4-FFF2-40B4-BE49-F238E27FC236}">
                <a16:creationId xmlns:a16="http://schemas.microsoft.com/office/drawing/2014/main" id="{A87226E3-3384-6986-F2AA-9C28F8A857DD}"/>
              </a:ext>
            </a:extLst>
          </xdr:cNvPr>
          <xdr:cNvSpPr/>
        </xdr:nvSpPr>
        <xdr:spPr>
          <a:xfrm>
            <a:off x="2241880" y="2562726"/>
            <a:ext cx="6474069" cy="1732547"/>
          </a:xfrm>
          <a:prstGeom prst="rect">
            <a:avLst/>
          </a:prstGeom>
          <a:solidFill>
            <a:srgbClr val="393E46"/>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 name="Rectangle 12">
            <a:extLst>
              <a:ext uri="{FF2B5EF4-FFF2-40B4-BE49-F238E27FC236}">
                <a16:creationId xmlns:a16="http://schemas.microsoft.com/office/drawing/2014/main" id="{5FFAF992-F328-AA69-F541-C70FD5A6EB7A}"/>
              </a:ext>
            </a:extLst>
          </xdr:cNvPr>
          <xdr:cNvSpPr/>
        </xdr:nvSpPr>
        <xdr:spPr>
          <a:xfrm>
            <a:off x="2241880" y="721894"/>
            <a:ext cx="3172328" cy="1732547"/>
          </a:xfrm>
          <a:prstGeom prst="rect">
            <a:avLst/>
          </a:prstGeom>
          <a:solidFill>
            <a:srgbClr val="393E46"/>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4" name="Rectangle 13">
            <a:extLst>
              <a:ext uri="{FF2B5EF4-FFF2-40B4-BE49-F238E27FC236}">
                <a16:creationId xmlns:a16="http://schemas.microsoft.com/office/drawing/2014/main" id="{DC811C5C-55AD-BCCF-A535-2557519A65EF}"/>
              </a:ext>
            </a:extLst>
          </xdr:cNvPr>
          <xdr:cNvSpPr/>
        </xdr:nvSpPr>
        <xdr:spPr>
          <a:xfrm>
            <a:off x="5562593" y="4403558"/>
            <a:ext cx="3172328" cy="1732547"/>
          </a:xfrm>
          <a:prstGeom prst="rect">
            <a:avLst/>
          </a:prstGeom>
          <a:solidFill>
            <a:srgbClr val="393E46"/>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6" name="Rectangle 15">
            <a:extLst>
              <a:ext uri="{FF2B5EF4-FFF2-40B4-BE49-F238E27FC236}">
                <a16:creationId xmlns:a16="http://schemas.microsoft.com/office/drawing/2014/main" id="{AD344E0F-0381-7DE5-609E-D052D7095B0D}"/>
              </a:ext>
            </a:extLst>
          </xdr:cNvPr>
          <xdr:cNvSpPr/>
        </xdr:nvSpPr>
        <xdr:spPr>
          <a:xfrm>
            <a:off x="5562593" y="721894"/>
            <a:ext cx="3172328" cy="1732547"/>
          </a:xfrm>
          <a:prstGeom prst="rect">
            <a:avLst/>
          </a:prstGeom>
          <a:solidFill>
            <a:srgbClr val="393E46"/>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7" name="Rectangle 16">
            <a:extLst>
              <a:ext uri="{FF2B5EF4-FFF2-40B4-BE49-F238E27FC236}">
                <a16:creationId xmlns:a16="http://schemas.microsoft.com/office/drawing/2014/main" id="{D06B1446-28A2-F592-EBBF-EF98FB943665}"/>
              </a:ext>
            </a:extLst>
          </xdr:cNvPr>
          <xdr:cNvSpPr/>
        </xdr:nvSpPr>
        <xdr:spPr>
          <a:xfrm>
            <a:off x="8883306" y="721894"/>
            <a:ext cx="3172328" cy="5414211"/>
          </a:xfrm>
          <a:prstGeom prst="rect">
            <a:avLst/>
          </a:prstGeom>
          <a:solidFill>
            <a:srgbClr val="393E46"/>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13</xdr:col>
      <xdr:colOff>285459</xdr:colOff>
      <xdr:row>4</xdr:row>
      <xdr:rowOff>104862</xdr:rowOff>
    </xdr:from>
    <xdr:to>
      <xdr:col>21</xdr:col>
      <xdr:colOff>87386</xdr:colOff>
      <xdr:row>7</xdr:row>
      <xdr:rowOff>11652</xdr:rowOff>
    </xdr:to>
    <xdr:sp macro="" textlink="">
      <xdr:nvSpPr>
        <xdr:cNvPr id="18" name="TextBox 17">
          <a:extLst>
            <a:ext uri="{FF2B5EF4-FFF2-40B4-BE49-F238E27FC236}">
              <a16:creationId xmlns:a16="http://schemas.microsoft.com/office/drawing/2014/main" id="{8912774D-5E13-3D66-E318-3C5F5056913A}"/>
            </a:ext>
          </a:extLst>
        </xdr:cNvPr>
        <xdr:cNvSpPr txBox="1"/>
      </xdr:nvSpPr>
      <xdr:spPr>
        <a:xfrm>
          <a:off x="8237523" y="850550"/>
          <a:ext cx="4695505" cy="466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spc="200" baseline="0">
              <a:solidFill>
                <a:schemeClr val="tx1"/>
              </a:solidFill>
            </a:rPr>
            <a:t>Mapping the Financial Relationship</a:t>
          </a:r>
        </a:p>
      </xdr:txBody>
    </xdr:sp>
    <xdr:clientData/>
  </xdr:twoCellAnchor>
  <xdr:twoCellAnchor>
    <xdr:from>
      <xdr:col>10</xdr:col>
      <xdr:colOff>285807</xdr:colOff>
      <xdr:row>5</xdr:row>
      <xdr:rowOff>25998</xdr:rowOff>
    </xdr:from>
    <xdr:to>
      <xdr:col>12</xdr:col>
      <xdr:colOff>521269</xdr:colOff>
      <xdr:row>7</xdr:row>
      <xdr:rowOff>112862</xdr:rowOff>
    </xdr:to>
    <xdr:sp macro="" textlink="">
      <xdr:nvSpPr>
        <xdr:cNvPr id="34" name="TextBox 33">
          <a:extLst>
            <a:ext uri="{FF2B5EF4-FFF2-40B4-BE49-F238E27FC236}">
              <a16:creationId xmlns:a16="http://schemas.microsoft.com/office/drawing/2014/main" id="{AA58BE9C-B609-4403-AD56-A7E34BDF8389}"/>
            </a:ext>
          </a:extLst>
        </xdr:cNvPr>
        <xdr:cNvSpPr txBox="1"/>
      </xdr:nvSpPr>
      <xdr:spPr>
        <a:xfrm>
          <a:off x="6351479" y="926371"/>
          <a:ext cx="1448596" cy="44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spc="200" baseline="0">
              <a:solidFill>
                <a:schemeClr val="bg1">
                  <a:lumMod val="85000"/>
                </a:schemeClr>
              </a:solidFill>
            </a:rPr>
            <a:t>Total Balance</a:t>
          </a:r>
        </a:p>
      </xdr:txBody>
    </xdr:sp>
    <xdr:clientData/>
  </xdr:twoCellAnchor>
  <xdr:twoCellAnchor>
    <xdr:from>
      <xdr:col>10</xdr:col>
      <xdr:colOff>94776</xdr:colOff>
      <xdr:row>7</xdr:row>
      <xdr:rowOff>131010</xdr:rowOff>
    </xdr:from>
    <xdr:to>
      <xdr:col>12</xdr:col>
      <xdr:colOff>522027</xdr:colOff>
      <xdr:row>10</xdr:row>
      <xdr:rowOff>37799</xdr:rowOff>
    </xdr:to>
    <xdr:sp macro="" textlink="Calculation!C4">
      <xdr:nvSpPr>
        <xdr:cNvPr id="35" name="TextBox 34">
          <a:extLst>
            <a:ext uri="{FF2B5EF4-FFF2-40B4-BE49-F238E27FC236}">
              <a16:creationId xmlns:a16="http://schemas.microsoft.com/office/drawing/2014/main" id="{ACA191AC-85B9-4D48-BBE6-AB2995A09AE2}"/>
            </a:ext>
          </a:extLst>
        </xdr:cNvPr>
        <xdr:cNvSpPr txBox="1"/>
      </xdr:nvSpPr>
      <xdr:spPr>
        <a:xfrm>
          <a:off x="6160448" y="1391532"/>
          <a:ext cx="1640385" cy="44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32B528-47EB-4795-B69A-C5416167B923}" type="TxLink">
            <a:rPr lang="en-US" sz="1200" b="1" i="0" u="none" strike="noStrike" spc="200" baseline="0">
              <a:solidFill>
                <a:schemeClr val="bg1">
                  <a:lumMod val="85000"/>
                </a:schemeClr>
              </a:solidFill>
              <a:latin typeface="Aptos Narrow"/>
            </a:rPr>
            <a:pPr algn="ctr"/>
            <a:t>$212,341,134.00</a:t>
          </a:fld>
          <a:endParaRPr lang="en-US" sz="1200" b="1" spc="200" baseline="0">
            <a:solidFill>
              <a:schemeClr val="bg1">
                <a:lumMod val="85000"/>
              </a:schemeClr>
            </a:solidFill>
          </a:endParaRPr>
        </a:p>
      </xdr:txBody>
    </xdr:sp>
    <xdr:clientData/>
  </xdr:twoCellAnchor>
  <xdr:twoCellAnchor>
    <xdr:from>
      <xdr:col>10</xdr:col>
      <xdr:colOff>104253</xdr:colOff>
      <xdr:row>12</xdr:row>
      <xdr:rowOff>26756</xdr:rowOff>
    </xdr:from>
    <xdr:to>
      <xdr:col>12</xdr:col>
      <xdr:colOff>550460</xdr:colOff>
      <xdr:row>14</xdr:row>
      <xdr:rowOff>113620</xdr:rowOff>
    </xdr:to>
    <xdr:sp macro="" textlink="">
      <xdr:nvSpPr>
        <xdr:cNvPr id="42" name="TextBox 41">
          <a:extLst>
            <a:ext uri="{FF2B5EF4-FFF2-40B4-BE49-F238E27FC236}">
              <a16:creationId xmlns:a16="http://schemas.microsoft.com/office/drawing/2014/main" id="{7C397B3A-EE61-4774-8071-4BC17B2430C8}"/>
            </a:ext>
          </a:extLst>
        </xdr:cNvPr>
        <xdr:cNvSpPr txBox="1"/>
      </xdr:nvSpPr>
      <xdr:spPr>
        <a:xfrm>
          <a:off x="6169925" y="2187652"/>
          <a:ext cx="1659341" cy="44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spc="200" baseline="0">
              <a:solidFill>
                <a:schemeClr val="bg1">
                  <a:lumMod val="85000"/>
                </a:schemeClr>
              </a:solidFill>
            </a:rPr>
            <a:t>Total Customers</a:t>
          </a:r>
        </a:p>
      </xdr:txBody>
    </xdr:sp>
    <xdr:clientData/>
  </xdr:twoCellAnchor>
  <xdr:twoCellAnchor>
    <xdr:from>
      <xdr:col>10</xdr:col>
      <xdr:colOff>123967</xdr:colOff>
      <xdr:row>14</xdr:row>
      <xdr:rowOff>131768</xdr:rowOff>
    </xdr:from>
    <xdr:to>
      <xdr:col>12</xdr:col>
      <xdr:colOff>551218</xdr:colOff>
      <xdr:row>17</xdr:row>
      <xdr:rowOff>38557</xdr:rowOff>
    </xdr:to>
    <xdr:sp macro="" textlink="Calculation!D4">
      <xdr:nvSpPr>
        <xdr:cNvPr id="43" name="TextBox 42">
          <a:extLst>
            <a:ext uri="{FF2B5EF4-FFF2-40B4-BE49-F238E27FC236}">
              <a16:creationId xmlns:a16="http://schemas.microsoft.com/office/drawing/2014/main" id="{7DDA49C3-C028-4A38-899E-E2CB28B95D17}"/>
            </a:ext>
          </a:extLst>
        </xdr:cNvPr>
        <xdr:cNvSpPr txBox="1"/>
      </xdr:nvSpPr>
      <xdr:spPr>
        <a:xfrm>
          <a:off x="6189639" y="2652813"/>
          <a:ext cx="1640385" cy="44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FB8318-6A83-4AA3-B601-3F7E0935E02A}" type="TxLink">
            <a:rPr lang="en-US" sz="1200" b="1" i="0" u="none" strike="noStrike" spc="200" baseline="0">
              <a:solidFill>
                <a:schemeClr val="bg1">
                  <a:lumMod val="85000"/>
                </a:schemeClr>
              </a:solidFill>
              <a:latin typeface="Aptos Narrow"/>
              <a:ea typeface="+mn-ea"/>
              <a:cs typeface="+mn-cs"/>
            </a:rPr>
            <a:pPr marL="0" indent="0" algn="ctr"/>
            <a:t>391</a:t>
          </a:fld>
          <a:endParaRPr lang="en-US" sz="1200" b="1" i="0" u="none" strike="noStrike" spc="200" baseline="0">
            <a:solidFill>
              <a:schemeClr val="bg1">
                <a:lumMod val="85000"/>
              </a:schemeClr>
            </a:solidFill>
            <a:latin typeface="Aptos Narrow"/>
            <a:ea typeface="+mn-ea"/>
            <a:cs typeface="+mn-cs"/>
          </a:endParaRPr>
        </a:p>
      </xdr:txBody>
    </xdr:sp>
    <xdr:clientData/>
  </xdr:twoCellAnchor>
  <xdr:twoCellAnchor>
    <xdr:from>
      <xdr:col>10</xdr:col>
      <xdr:colOff>105011</xdr:colOff>
      <xdr:row>19</xdr:row>
      <xdr:rowOff>36992</xdr:rowOff>
    </xdr:from>
    <xdr:to>
      <xdr:col>12</xdr:col>
      <xdr:colOff>551218</xdr:colOff>
      <xdr:row>21</xdr:row>
      <xdr:rowOff>123856</xdr:rowOff>
    </xdr:to>
    <xdr:sp macro="" textlink="">
      <xdr:nvSpPr>
        <xdr:cNvPr id="44" name="TextBox 43">
          <a:extLst>
            <a:ext uri="{FF2B5EF4-FFF2-40B4-BE49-F238E27FC236}">
              <a16:creationId xmlns:a16="http://schemas.microsoft.com/office/drawing/2014/main" id="{E7FC3175-3587-4C0C-AB1A-FD315B86CBD5}"/>
            </a:ext>
          </a:extLst>
        </xdr:cNvPr>
        <xdr:cNvSpPr txBox="1"/>
      </xdr:nvSpPr>
      <xdr:spPr>
        <a:xfrm>
          <a:off x="6170683" y="3458410"/>
          <a:ext cx="1659341" cy="44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spc="200" baseline="0">
              <a:solidFill>
                <a:schemeClr val="bg1">
                  <a:lumMod val="85000"/>
                </a:schemeClr>
              </a:solidFill>
            </a:rPr>
            <a:t>Total Approved Loan</a:t>
          </a:r>
        </a:p>
      </xdr:txBody>
    </xdr:sp>
    <xdr:clientData/>
  </xdr:twoCellAnchor>
  <xdr:twoCellAnchor>
    <xdr:from>
      <xdr:col>10</xdr:col>
      <xdr:colOff>124725</xdr:colOff>
      <xdr:row>21</xdr:row>
      <xdr:rowOff>142004</xdr:rowOff>
    </xdr:from>
    <xdr:to>
      <xdr:col>12</xdr:col>
      <xdr:colOff>551976</xdr:colOff>
      <xdr:row>24</xdr:row>
      <xdr:rowOff>48793</xdr:rowOff>
    </xdr:to>
    <xdr:sp macro="" textlink="Calculation!E4">
      <xdr:nvSpPr>
        <xdr:cNvPr id="45" name="TextBox 44">
          <a:extLst>
            <a:ext uri="{FF2B5EF4-FFF2-40B4-BE49-F238E27FC236}">
              <a16:creationId xmlns:a16="http://schemas.microsoft.com/office/drawing/2014/main" id="{A9139653-709C-4E54-BAA3-D190DDF2C7F9}"/>
            </a:ext>
          </a:extLst>
        </xdr:cNvPr>
        <xdr:cNvSpPr txBox="1"/>
      </xdr:nvSpPr>
      <xdr:spPr>
        <a:xfrm>
          <a:off x="6190397" y="3923571"/>
          <a:ext cx="1640385" cy="44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F61C620-07EB-411A-99B7-5465CE0D6487}" type="TxLink">
            <a:rPr lang="en-US" sz="1200" b="1" i="0" u="none" strike="noStrike" spc="200" baseline="0">
              <a:solidFill>
                <a:schemeClr val="bg1">
                  <a:lumMod val="85000"/>
                </a:schemeClr>
              </a:solidFill>
              <a:latin typeface="Aptos Narrow"/>
              <a:ea typeface="+mn-ea"/>
              <a:cs typeface="+mn-cs"/>
            </a:rPr>
            <a:pPr marL="0" indent="0" algn="ctr"/>
            <a:t>$3,677,399.00</a:t>
          </a:fld>
          <a:endParaRPr lang="en-US" sz="1200" b="1" i="0" u="none" strike="noStrike" spc="200" baseline="0">
            <a:solidFill>
              <a:schemeClr val="bg1">
                <a:lumMod val="85000"/>
              </a:schemeClr>
            </a:solidFill>
            <a:latin typeface="Aptos Narrow"/>
            <a:ea typeface="+mn-ea"/>
            <a:cs typeface="+mn-cs"/>
          </a:endParaRPr>
        </a:p>
      </xdr:txBody>
    </xdr:sp>
    <xdr:clientData/>
  </xdr:twoCellAnchor>
  <xdr:twoCellAnchor>
    <xdr:from>
      <xdr:col>10</xdr:col>
      <xdr:colOff>105769</xdr:colOff>
      <xdr:row>26</xdr:row>
      <xdr:rowOff>104094</xdr:rowOff>
    </xdr:from>
    <xdr:to>
      <xdr:col>12</xdr:col>
      <xdr:colOff>551976</xdr:colOff>
      <xdr:row>29</xdr:row>
      <xdr:rowOff>10883</xdr:rowOff>
    </xdr:to>
    <xdr:sp macro="" textlink="">
      <xdr:nvSpPr>
        <xdr:cNvPr id="46" name="TextBox 45">
          <a:extLst>
            <a:ext uri="{FF2B5EF4-FFF2-40B4-BE49-F238E27FC236}">
              <a16:creationId xmlns:a16="http://schemas.microsoft.com/office/drawing/2014/main" id="{62C467B6-5D6B-437E-A670-FAAF160C2D5F}"/>
            </a:ext>
          </a:extLst>
        </xdr:cNvPr>
        <xdr:cNvSpPr txBox="1"/>
      </xdr:nvSpPr>
      <xdr:spPr>
        <a:xfrm>
          <a:off x="6171441" y="4786034"/>
          <a:ext cx="1659341" cy="44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spc="200" baseline="0">
              <a:solidFill>
                <a:schemeClr val="bg1">
                  <a:lumMod val="85000"/>
                </a:schemeClr>
              </a:solidFill>
            </a:rPr>
            <a:t>Customers with &gt;1 Products</a:t>
          </a:r>
        </a:p>
      </xdr:txBody>
    </xdr:sp>
    <xdr:clientData/>
  </xdr:twoCellAnchor>
  <xdr:twoCellAnchor>
    <xdr:from>
      <xdr:col>10</xdr:col>
      <xdr:colOff>125483</xdr:colOff>
      <xdr:row>29</xdr:row>
      <xdr:rowOff>29031</xdr:rowOff>
    </xdr:from>
    <xdr:to>
      <xdr:col>12</xdr:col>
      <xdr:colOff>552734</xdr:colOff>
      <xdr:row>31</xdr:row>
      <xdr:rowOff>115895</xdr:rowOff>
    </xdr:to>
    <xdr:sp macro="" textlink="Calculation!G4">
      <xdr:nvSpPr>
        <xdr:cNvPr id="47" name="TextBox 46">
          <a:extLst>
            <a:ext uri="{FF2B5EF4-FFF2-40B4-BE49-F238E27FC236}">
              <a16:creationId xmlns:a16="http://schemas.microsoft.com/office/drawing/2014/main" id="{8ED7162C-9015-4848-BA8D-131784E6BF09}"/>
            </a:ext>
          </a:extLst>
        </xdr:cNvPr>
        <xdr:cNvSpPr txBox="1"/>
      </xdr:nvSpPr>
      <xdr:spPr>
        <a:xfrm>
          <a:off x="6191155" y="5251195"/>
          <a:ext cx="1640385" cy="44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626D2A2-7CEF-49FC-92DC-CB04ABCF54A9}" type="TxLink">
            <a:rPr lang="en-US" sz="1200" b="1" i="0" u="none" strike="noStrike" spc="200" baseline="0">
              <a:solidFill>
                <a:schemeClr val="bg1">
                  <a:lumMod val="85000"/>
                </a:schemeClr>
              </a:solidFill>
              <a:latin typeface="Aptos Narrow"/>
              <a:ea typeface="+mn-ea"/>
              <a:cs typeface="+mn-cs"/>
            </a:rPr>
            <a:pPr marL="0" indent="0" algn="ctr"/>
            <a:t>195</a:t>
          </a:fld>
          <a:endParaRPr lang="en-US" sz="1200" b="1" i="0" u="none" strike="noStrike" spc="200" baseline="0">
            <a:solidFill>
              <a:schemeClr val="bg1">
                <a:lumMod val="85000"/>
              </a:schemeClr>
            </a:solidFill>
            <a:latin typeface="Aptos Narrow"/>
            <a:ea typeface="+mn-ea"/>
            <a:cs typeface="+mn-cs"/>
          </a:endParaRPr>
        </a:p>
      </xdr:txBody>
    </xdr:sp>
    <xdr:clientData/>
  </xdr:twoCellAnchor>
  <xdr:twoCellAnchor>
    <xdr:from>
      <xdr:col>10</xdr:col>
      <xdr:colOff>97050</xdr:colOff>
      <xdr:row>33</xdr:row>
      <xdr:rowOff>76419</xdr:rowOff>
    </xdr:from>
    <xdr:to>
      <xdr:col>12</xdr:col>
      <xdr:colOff>543257</xdr:colOff>
      <xdr:row>35</xdr:row>
      <xdr:rowOff>163283</xdr:rowOff>
    </xdr:to>
    <xdr:sp macro="" textlink="">
      <xdr:nvSpPr>
        <xdr:cNvPr id="48" name="TextBox 47">
          <a:extLst>
            <a:ext uri="{FF2B5EF4-FFF2-40B4-BE49-F238E27FC236}">
              <a16:creationId xmlns:a16="http://schemas.microsoft.com/office/drawing/2014/main" id="{8B9733EC-B6BE-42C0-AEDB-3C442281B65C}"/>
            </a:ext>
          </a:extLst>
        </xdr:cNvPr>
        <xdr:cNvSpPr txBox="1"/>
      </xdr:nvSpPr>
      <xdr:spPr>
        <a:xfrm>
          <a:off x="6162722" y="6018882"/>
          <a:ext cx="1659341" cy="44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spc="200" baseline="0">
              <a:solidFill>
                <a:schemeClr val="bg1">
                  <a:lumMod val="85000"/>
                </a:schemeClr>
              </a:solidFill>
            </a:rPr>
            <a:t>Average Credit Score</a:t>
          </a:r>
        </a:p>
      </xdr:txBody>
    </xdr:sp>
    <xdr:clientData/>
  </xdr:twoCellAnchor>
  <xdr:twoCellAnchor>
    <xdr:from>
      <xdr:col>10</xdr:col>
      <xdr:colOff>116764</xdr:colOff>
      <xdr:row>36</xdr:row>
      <xdr:rowOff>1356</xdr:rowOff>
    </xdr:from>
    <xdr:to>
      <xdr:col>12</xdr:col>
      <xdr:colOff>544015</xdr:colOff>
      <xdr:row>38</xdr:row>
      <xdr:rowOff>88220</xdr:rowOff>
    </xdr:to>
    <xdr:sp macro="" textlink="Calculation!H4">
      <xdr:nvSpPr>
        <xdr:cNvPr id="49" name="TextBox 48">
          <a:extLst>
            <a:ext uri="{FF2B5EF4-FFF2-40B4-BE49-F238E27FC236}">
              <a16:creationId xmlns:a16="http://schemas.microsoft.com/office/drawing/2014/main" id="{7D9F30FA-7017-4EC0-A160-F98D80813859}"/>
            </a:ext>
          </a:extLst>
        </xdr:cNvPr>
        <xdr:cNvSpPr txBox="1"/>
      </xdr:nvSpPr>
      <xdr:spPr>
        <a:xfrm>
          <a:off x="6182436" y="6484043"/>
          <a:ext cx="1640385" cy="44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2589BD-DF0F-47BE-A5FD-C9F620E91972}" type="TxLink">
            <a:rPr lang="en-US" sz="1200" b="1" i="0" u="none" strike="noStrike" spc="200" baseline="0">
              <a:solidFill>
                <a:schemeClr val="bg1">
                  <a:lumMod val="85000"/>
                </a:schemeClr>
              </a:solidFill>
              <a:latin typeface="Aptos Narrow"/>
              <a:ea typeface="+mn-ea"/>
              <a:cs typeface="+mn-cs"/>
            </a:rPr>
            <a:pPr marL="0" indent="0" algn="ctr"/>
            <a:t>580</a:t>
          </a:fld>
          <a:endParaRPr lang="en-US" sz="1200" b="1" i="0" u="none" strike="noStrike" spc="200" baseline="0">
            <a:solidFill>
              <a:schemeClr val="bg1">
                <a:lumMod val="85000"/>
              </a:schemeClr>
            </a:solidFill>
            <a:latin typeface="Aptos Narrow"/>
            <a:ea typeface="+mn-ea"/>
            <a:cs typeface="+mn-cs"/>
          </a:endParaRPr>
        </a:p>
      </xdr:txBody>
    </xdr:sp>
    <xdr:clientData/>
  </xdr:twoCellAnchor>
  <xdr:twoCellAnchor>
    <xdr:from>
      <xdr:col>13</xdr:col>
      <xdr:colOff>235927</xdr:colOff>
      <xdr:row>9</xdr:row>
      <xdr:rowOff>42496</xdr:rowOff>
    </xdr:from>
    <xdr:to>
      <xdr:col>18</xdr:col>
      <xdr:colOff>329711</xdr:colOff>
      <xdr:row>16</xdr:row>
      <xdr:rowOff>158750</xdr:rowOff>
    </xdr:to>
    <xdr:graphicFrame macro="">
      <xdr:nvGraphicFramePr>
        <xdr:cNvPr id="50" name="Chart 49">
          <a:extLst>
            <a:ext uri="{FF2B5EF4-FFF2-40B4-BE49-F238E27FC236}">
              <a16:creationId xmlns:a16="http://schemas.microsoft.com/office/drawing/2014/main" id="{F1B428B2-8F0B-474B-9CBA-710634547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496974</xdr:colOff>
      <xdr:row>7</xdr:row>
      <xdr:rowOff>149508</xdr:rowOff>
    </xdr:from>
    <xdr:to>
      <xdr:col>23</xdr:col>
      <xdr:colOff>593766</xdr:colOff>
      <xdr:row>16</xdr:row>
      <xdr:rowOff>173183</xdr:rowOff>
    </xdr:to>
    <xdr:graphicFrame macro="">
      <xdr:nvGraphicFramePr>
        <xdr:cNvPr id="51" name="Chart 50">
          <a:extLst>
            <a:ext uri="{FF2B5EF4-FFF2-40B4-BE49-F238E27FC236}">
              <a16:creationId xmlns:a16="http://schemas.microsoft.com/office/drawing/2014/main" id="{522062CE-BDFA-4F99-9654-968CE77EB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486556</xdr:colOff>
      <xdr:row>10</xdr:row>
      <xdr:rowOff>164937</xdr:rowOff>
    </xdr:from>
    <xdr:to>
      <xdr:col>23</xdr:col>
      <xdr:colOff>596157</xdr:colOff>
      <xdr:row>16</xdr:row>
      <xdr:rowOff>171105</xdr:rowOff>
    </xdr:to>
    <xdr:graphicFrame macro="">
      <xdr:nvGraphicFramePr>
        <xdr:cNvPr id="52" name="Chart 51">
          <a:extLst>
            <a:ext uri="{FF2B5EF4-FFF2-40B4-BE49-F238E27FC236}">
              <a16:creationId xmlns:a16="http://schemas.microsoft.com/office/drawing/2014/main" id="{06F5D81F-39FE-46FB-921B-3D75E4848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281329</xdr:colOff>
      <xdr:row>19</xdr:row>
      <xdr:rowOff>48227</xdr:rowOff>
    </xdr:from>
    <xdr:to>
      <xdr:col>23</xdr:col>
      <xdr:colOff>562657</xdr:colOff>
      <xdr:row>26</xdr:row>
      <xdr:rowOff>168796</xdr:rowOff>
    </xdr:to>
    <xdr:graphicFrame macro="">
      <xdr:nvGraphicFramePr>
        <xdr:cNvPr id="53" name="Chart 52">
          <a:extLst>
            <a:ext uri="{FF2B5EF4-FFF2-40B4-BE49-F238E27FC236}">
              <a16:creationId xmlns:a16="http://schemas.microsoft.com/office/drawing/2014/main" id="{07EDE657-96AD-4CBA-B83E-ECA6879EE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258694</xdr:colOff>
      <xdr:row>17</xdr:row>
      <xdr:rowOff>66307</xdr:rowOff>
    </xdr:from>
    <xdr:to>
      <xdr:col>19</xdr:col>
      <xdr:colOff>192911</xdr:colOff>
      <xdr:row>19</xdr:row>
      <xdr:rowOff>153171</xdr:rowOff>
    </xdr:to>
    <xdr:sp macro="" textlink="">
      <xdr:nvSpPr>
        <xdr:cNvPr id="54" name="TextBox 53">
          <a:extLst>
            <a:ext uri="{FF2B5EF4-FFF2-40B4-BE49-F238E27FC236}">
              <a16:creationId xmlns:a16="http://schemas.microsoft.com/office/drawing/2014/main" id="{C2B14E71-EC44-43F9-B114-E226CE7F05BB}"/>
            </a:ext>
          </a:extLst>
        </xdr:cNvPr>
        <xdr:cNvSpPr txBox="1"/>
      </xdr:nvSpPr>
      <xdr:spPr>
        <a:xfrm>
          <a:off x="8200213" y="3209155"/>
          <a:ext cx="3599533" cy="456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spc="200" baseline="0">
              <a:solidFill>
                <a:schemeClr val="bg1">
                  <a:lumMod val="85000"/>
                </a:schemeClr>
              </a:solidFill>
            </a:rPr>
            <a:t>Opening Balance Along the Years</a:t>
          </a:r>
        </a:p>
      </xdr:txBody>
    </xdr:sp>
    <xdr:clientData/>
  </xdr:twoCellAnchor>
  <xdr:twoCellAnchor>
    <xdr:from>
      <xdr:col>13</xdr:col>
      <xdr:colOff>334594</xdr:colOff>
      <xdr:row>7</xdr:row>
      <xdr:rowOff>93585</xdr:rowOff>
    </xdr:from>
    <xdr:to>
      <xdr:col>17</xdr:col>
      <xdr:colOff>437213</xdr:colOff>
      <xdr:row>9</xdr:row>
      <xdr:rowOff>180449</xdr:rowOff>
    </xdr:to>
    <xdr:sp macro="" textlink="">
      <xdr:nvSpPr>
        <xdr:cNvPr id="55" name="TextBox 54">
          <a:extLst>
            <a:ext uri="{FF2B5EF4-FFF2-40B4-BE49-F238E27FC236}">
              <a16:creationId xmlns:a16="http://schemas.microsoft.com/office/drawing/2014/main" id="{8D911C60-A582-4E7F-9D5A-4845E5669893}"/>
            </a:ext>
          </a:extLst>
        </xdr:cNvPr>
        <xdr:cNvSpPr txBox="1"/>
      </xdr:nvSpPr>
      <xdr:spPr>
        <a:xfrm>
          <a:off x="8318938" y="1405224"/>
          <a:ext cx="2559341" cy="461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spc="200" baseline="0">
              <a:solidFill>
                <a:schemeClr val="bg1">
                  <a:lumMod val="85000"/>
                </a:schemeClr>
              </a:solidFill>
            </a:rPr>
            <a:t>Account Types Distribution</a:t>
          </a:r>
        </a:p>
      </xdr:txBody>
    </xdr:sp>
    <xdr:clientData/>
  </xdr:twoCellAnchor>
  <xdr:twoCellAnchor>
    <xdr:from>
      <xdr:col>24</xdr:col>
      <xdr:colOff>156147</xdr:colOff>
      <xdr:row>25</xdr:row>
      <xdr:rowOff>20484</xdr:rowOff>
    </xdr:from>
    <xdr:to>
      <xdr:col>29</xdr:col>
      <xdr:colOff>291475</xdr:colOff>
      <xdr:row>36</xdr:row>
      <xdr:rowOff>130332</xdr:rowOff>
    </xdr:to>
    <xdr:graphicFrame macro="">
      <xdr:nvGraphicFramePr>
        <xdr:cNvPr id="56" name="Chart 55">
          <a:extLst>
            <a:ext uri="{FF2B5EF4-FFF2-40B4-BE49-F238E27FC236}">
              <a16:creationId xmlns:a16="http://schemas.microsoft.com/office/drawing/2014/main" id="{AF4A576B-6A08-434A-B086-28DD38CA1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143388</xdr:colOff>
      <xdr:row>10</xdr:row>
      <xdr:rowOff>93432</xdr:rowOff>
    </xdr:from>
    <xdr:to>
      <xdr:col>29</xdr:col>
      <xdr:colOff>307259</xdr:colOff>
      <xdr:row>25</xdr:row>
      <xdr:rowOff>33792</xdr:rowOff>
    </xdr:to>
    <xdr:graphicFrame macro="">
      <xdr:nvGraphicFramePr>
        <xdr:cNvPr id="57" name="Chart 56">
          <a:extLst>
            <a:ext uri="{FF2B5EF4-FFF2-40B4-BE49-F238E27FC236}">
              <a16:creationId xmlns:a16="http://schemas.microsoft.com/office/drawing/2014/main" id="{B4BBBF2D-F498-4237-9442-6338A022C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330228</xdr:colOff>
      <xdr:row>7</xdr:row>
      <xdr:rowOff>155708</xdr:rowOff>
    </xdr:from>
    <xdr:to>
      <xdr:col>28</xdr:col>
      <xdr:colOff>432846</xdr:colOff>
      <xdr:row>10</xdr:row>
      <xdr:rowOff>58218</xdr:rowOff>
    </xdr:to>
    <xdr:sp macro="" textlink="">
      <xdr:nvSpPr>
        <xdr:cNvPr id="58" name="TextBox 57">
          <a:extLst>
            <a:ext uri="{FF2B5EF4-FFF2-40B4-BE49-F238E27FC236}">
              <a16:creationId xmlns:a16="http://schemas.microsoft.com/office/drawing/2014/main" id="{1685AB9C-2C9D-475F-988E-86EEC10F69DC}"/>
            </a:ext>
          </a:extLst>
        </xdr:cNvPr>
        <xdr:cNvSpPr txBox="1"/>
      </xdr:nvSpPr>
      <xdr:spPr>
        <a:xfrm>
          <a:off x="15078615" y="1446192"/>
          <a:ext cx="2560683" cy="455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spc="200" baseline="0">
              <a:solidFill>
                <a:schemeClr val="bg1">
                  <a:lumMod val="85000"/>
                </a:schemeClr>
              </a:solidFill>
            </a:rPr>
            <a:t>Average Vs. Total Balance</a:t>
          </a:r>
        </a:p>
      </xdr:txBody>
    </xdr:sp>
    <xdr:clientData/>
  </xdr:twoCellAnchor>
  <xdr:twoCellAnchor>
    <xdr:from>
      <xdr:col>13</xdr:col>
      <xdr:colOff>235563</xdr:colOff>
      <xdr:row>29</xdr:row>
      <xdr:rowOff>40968</xdr:rowOff>
    </xdr:from>
    <xdr:to>
      <xdr:col>18</xdr:col>
      <xdr:colOff>337984</xdr:colOff>
      <xdr:row>37</xdr:row>
      <xdr:rowOff>0</xdr:rowOff>
    </xdr:to>
    <xdr:graphicFrame macro="">
      <xdr:nvGraphicFramePr>
        <xdr:cNvPr id="59" name="Chart 58">
          <a:extLst>
            <a:ext uri="{FF2B5EF4-FFF2-40B4-BE49-F238E27FC236}">
              <a16:creationId xmlns:a16="http://schemas.microsoft.com/office/drawing/2014/main" id="{E14E1619-D7CC-4CAC-A910-FEC960545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252470</xdr:colOff>
      <xdr:row>27</xdr:row>
      <xdr:rowOff>157058</xdr:rowOff>
    </xdr:from>
    <xdr:to>
      <xdr:col>18</xdr:col>
      <xdr:colOff>235565</xdr:colOff>
      <xdr:row>30</xdr:row>
      <xdr:rowOff>59568</xdr:rowOff>
    </xdr:to>
    <xdr:sp macro="" textlink="">
      <xdr:nvSpPr>
        <xdr:cNvPr id="60" name="TextBox 59">
          <a:extLst>
            <a:ext uri="{FF2B5EF4-FFF2-40B4-BE49-F238E27FC236}">
              <a16:creationId xmlns:a16="http://schemas.microsoft.com/office/drawing/2014/main" id="{541BB997-79D6-48F9-909E-810DB9FC9BE2}"/>
            </a:ext>
          </a:extLst>
        </xdr:cNvPr>
        <xdr:cNvSpPr txBox="1"/>
      </xdr:nvSpPr>
      <xdr:spPr>
        <a:xfrm>
          <a:off x="8241180" y="5134639"/>
          <a:ext cx="3055675" cy="455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spc="200" baseline="0">
              <a:solidFill>
                <a:schemeClr val="bg1">
                  <a:lumMod val="85000"/>
                </a:schemeClr>
              </a:solidFill>
            </a:rPr>
            <a:t>Top Customers with Highest Balances</a:t>
          </a:r>
        </a:p>
      </xdr:txBody>
    </xdr:sp>
    <xdr:clientData/>
  </xdr:twoCellAnchor>
  <xdr:twoCellAnchor>
    <xdr:from>
      <xdr:col>18</xdr:col>
      <xdr:colOff>516610</xdr:colOff>
      <xdr:row>28</xdr:row>
      <xdr:rowOff>161441</xdr:rowOff>
    </xdr:from>
    <xdr:to>
      <xdr:col>24</xdr:col>
      <xdr:colOff>1</xdr:colOff>
      <xdr:row>37</xdr:row>
      <xdr:rowOff>16144</xdr:rowOff>
    </xdr:to>
    <xdr:graphicFrame macro="">
      <xdr:nvGraphicFramePr>
        <xdr:cNvPr id="61" name="Chart 60">
          <a:extLst>
            <a:ext uri="{FF2B5EF4-FFF2-40B4-BE49-F238E27FC236}">
              <a16:creationId xmlns:a16="http://schemas.microsoft.com/office/drawing/2014/main" id="{C22A1E7D-A0E3-426B-BCF6-F15B2062A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529697</xdr:colOff>
      <xdr:row>27</xdr:row>
      <xdr:rowOff>108452</xdr:rowOff>
    </xdr:from>
    <xdr:to>
      <xdr:col>23</xdr:col>
      <xdr:colOff>512792</xdr:colOff>
      <xdr:row>30</xdr:row>
      <xdr:rowOff>10962</xdr:rowOff>
    </xdr:to>
    <xdr:sp macro="" textlink="">
      <xdr:nvSpPr>
        <xdr:cNvPr id="62" name="TextBox 61">
          <a:extLst>
            <a:ext uri="{FF2B5EF4-FFF2-40B4-BE49-F238E27FC236}">
              <a16:creationId xmlns:a16="http://schemas.microsoft.com/office/drawing/2014/main" id="{1D16C9A6-6FCA-46B4-BADA-CC63B9342DFF}"/>
            </a:ext>
          </a:extLst>
        </xdr:cNvPr>
        <xdr:cNvSpPr txBox="1"/>
      </xdr:nvSpPr>
      <xdr:spPr>
        <a:xfrm>
          <a:off x="11475375" y="5048537"/>
          <a:ext cx="3023561" cy="451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spc="200" baseline="0">
              <a:solidFill>
                <a:schemeClr val="bg1">
                  <a:lumMod val="85000"/>
                </a:schemeClr>
              </a:solidFill>
            </a:rPr>
            <a:t>Occupation with the Highest Balance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158750</xdr:rowOff>
    </xdr:from>
    <xdr:to>
      <xdr:col>20</xdr:col>
      <xdr:colOff>27425</xdr:colOff>
      <xdr:row>42</xdr:row>
      <xdr:rowOff>0</xdr:rowOff>
    </xdr:to>
    <xdr:sp macro="" textlink="">
      <xdr:nvSpPr>
        <xdr:cNvPr id="2" name="Rectangle 1">
          <a:extLst>
            <a:ext uri="{FF2B5EF4-FFF2-40B4-BE49-F238E27FC236}">
              <a16:creationId xmlns:a16="http://schemas.microsoft.com/office/drawing/2014/main" id="{8B021682-D4CA-4148-B00B-4A11CBA7CAA3}"/>
            </a:ext>
          </a:extLst>
        </xdr:cNvPr>
        <xdr:cNvSpPr/>
      </xdr:nvSpPr>
      <xdr:spPr>
        <a:xfrm>
          <a:off x="114300" y="158750"/>
          <a:ext cx="12105125" cy="7575550"/>
        </a:xfrm>
        <a:prstGeom prst="rect">
          <a:avLst/>
        </a:prstGeom>
        <a:solidFill>
          <a:schemeClr val="bg1">
            <a:lumMod val="50000"/>
          </a:schemeClr>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177800</xdr:colOff>
      <xdr:row>1</xdr:row>
      <xdr:rowOff>6350</xdr:rowOff>
    </xdr:from>
    <xdr:to>
      <xdr:col>19</xdr:col>
      <xdr:colOff>584200</xdr:colOff>
      <xdr:row>41</xdr:row>
      <xdr:rowOff>107950</xdr:rowOff>
    </xdr:to>
    <xdr:sp macro="" textlink="">
      <xdr:nvSpPr>
        <xdr:cNvPr id="3" name="TextBox 2">
          <a:extLst>
            <a:ext uri="{FF2B5EF4-FFF2-40B4-BE49-F238E27FC236}">
              <a16:creationId xmlns:a16="http://schemas.microsoft.com/office/drawing/2014/main" id="{6B551A79-54B4-F993-6F14-CAE5C92061B1}"/>
            </a:ext>
          </a:extLst>
        </xdr:cNvPr>
        <xdr:cNvSpPr txBox="1"/>
      </xdr:nvSpPr>
      <xdr:spPr>
        <a:xfrm>
          <a:off x="177800" y="190500"/>
          <a:ext cx="11988800" cy="7467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lumMod val="85000"/>
                </a:schemeClr>
              </a:solidFill>
              <a:effectLst/>
              <a:latin typeface="+mn-lt"/>
              <a:ea typeface="+mn-ea"/>
              <a:cs typeface="+mn-cs"/>
            </a:rPr>
            <a:t>Understanding Accounts &amp; Customer Relationships</a:t>
          </a:r>
          <a:endParaRPr lang="en-US" sz="1800">
            <a:solidFill>
              <a:schemeClr val="bg1">
                <a:lumMod val="85000"/>
              </a:schemeClr>
            </a:solidFill>
            <a:effectLst/>
            <a:latin typeface="+mn-lt"/>
            <a:ea typeface="+mn-ea"/>
            <a:cs typeface="+mn-cs"/>
          </a:endParaRPr>
        </a:p>
        <a:p>
          <a:r>
            <a:rPr lang="en-US" sz="1100" b="1">
              <a:solidFill>
                <a:schemeClr val="bg1">
                  <a:lumMod val="85000"/>
                </a:schemeClr>
              </a:solidFill>
              <a:effectLst/>
              <a:latin typeface="+mn-lt"/>
              <a:ea typeface="+mn-ea"/>
              <a:cs typeface="+mn-cs"/>
            </a:rPr>
            <a:t>Introduction</a:t>
          </a:r>
          <a:endParaRPr lang="en-US" sz="1100">
            <a:solidFill>
              <a:schemeClr val="bg1">
                <a:lumMod val="85000"/>
              </a:schemeClr>
            </a:solidFill>
            <a:effectLst/>
            <a:latin typeface="+mn-lt"/>
            <a:ea typeface="+mn-ea"/>
            <a:cs typeface="+mn-cs"/>
          </a:endParaRPr>
        </a:p>
        <a:p>
          <a:r>
            <a:rPr lang="en-US" sz="1100">
              <a:solidFill>
                <a:schemeClr val="bg1">
                  <a:lumMod val="85000"/>
                </a:schemeClr>
              </a:solidFill>
              <a:effectLst/>
              <a:latin typeface="+mn-lt"/>
              <a:ea typeface="+mn-ea"/>
              <a:cs typeface="+mn-cs"/>
            </a:rPr>
            <a:t>Following last week’s analysis of who the Metro Bank customer is, this week’s challenge examines how customers interact with the bank. The focus is on product ownership, deposits, loans, balances, and overall relationship strength. Together, these insights extend our understanding of the customer base beyond demographics and into financial behavior.</a:t>
          </a:r>
        </a:p>
        <a:p>
          <a:r>
            <a:rPr lang="en-US" sz="1100">
              <a:solidFill>
                <a:schemeClr val="bg1">
                  <a:lumMod val="85000"/>
                </a:schemeClr>
              </a:solidFill>
              <a:effectLst/>
              <a:latin typeface="+mn-lt"/>
              <a:ea typeface="+mn-ea"/>
              <a:cs typeface="+mn-cs"/>
            </a:rPr>
            <a:t> </a:t>
          </a:r>
        </a:p>
        <a:p>
          <a:r>
            <a:rPr lang="en-US" sz="1100" b="1">
              <a:solidFill>
                <a:schemeClr val="bg1">
                  <a:lumMod val="85000"/>
                </a:schemeClr>
              </a:solidFill>
              <a:effectLst/>
              <a:latin typeface="+mn-lt"/>
              <a:ea typeface="+mn-ea"/>
              <a:cs typeface="+mn-cs"/>
            </a:rPr>
            <a:t>Product Ownership and Account Distribution</a:t>
          </a:r>
          <a:endParaRPr lang="en-US" sz="1100">
            <a:solidFill>
              <a:schemeClr val="bg1">
                <a:lumMod val="85000"/>
              </a:schemeClr>
            </a:solidFill>
            <a:effectLst/>
            <a:latin typeface="+mn-lt"/>
            <a:ea typeface="+mn-ea"/>
            <a:cs typeface="+mn-cs"/>
          </a:endParaRPr>
        </a:p>
        <a:p>
          <a:r>
            <a:rPr lang="en-US" sz="1100">
              <a:solidFill>
                <a:schemeClr val="bg1">
                  <a:lumMod val="85000"/>
                </a:schemeClr>
              </a:solidFill>
              <a:effectLst/>
              <a:latin typeface="+mn-lt"/>
              <a:ea typeface="+mn-ea"/>
              <a:cs typeface="+mn-cs"/>
            </a:rPr>
            <a:t>Customers hold a mix of products, with checking and savings accounts being the most common. Loan and credit card accounts follow, but in smaller numbers. Notably, 196 customers (about half the base) own more than one product, showing that a significant share of customers already view Metro Bank as their primary institution.</a:t>
          </a:r>
        </a:p>
        <a:p>
          <a:r>
            <a:rPr lang="en-US" sz="1100">
              <a:solidFill>
                <a:schemeClr val="bg1">
                  <a:lumMod val="85000"/>
                </a:schemeClr>
              </a:solidFill>
              <a:effectLst/>
              <a:latin typeface="+mn-lt"/>
              <a:ea typeface="+mn-ea"/>
              <a:cs typeface="+mn-cs"/>
            </a:rPr>
            <a:t> </a:t>
          </a:r>
        </a:p>
        <a:p>
          <a:r>
            <a:rPr lang="en-US" sz="1100" b="1">
              <a:solidFill>
                <a:schemeClr val="bg1">
                  <a:lumMod val="85000"/>
                </a:schemeClr>
              </a:solidFill>
              <a:effectLst/>
              <a:latin typeface="+mn-lt"/>
              <a:ea typeface="+mn-ea"/>
              <a:cs typeface="+mn-cs"/>
            </a:rPr>
            <a:t>Deposits and Loans</a:t>
          </a:r>
          <a:endParaRPr lang="en-US" sz="1100">
            <a:solidFill>
              <a:schemeClr val="bg1">
                <a:lumMod val="85000"/>
              </a:schemeClr>
            </a:solidFill>
            <a:effectLst/>
            <a:latin typeface="+mn-lt"/>
            <a:ea typeface="+mn-ea"/>
            <a:cs typeface="+mn-cs"/>
          </a:endParaRPr>
        </a:p>
        <a:p>
          <a:r>
            <a:rPr lang="en-US" sz="1100">
              <a:solidFill>
                <a:schemeClr val="bg1">
                  <a:lumMod val="85000"/>
                </a:schemeClr>
              </a:solidFill>
              <a:effectLst/>
              <a:latin typeface="+mn-lt"/>
              <a:ea typeface="+mn-ea"/>
              <a:cs typeface="+mn-cs"/>
            </a:rPr>
            <a:t>The analysis reveals a total deposit balance of $212 million, compared to an approved loan book of $3.7 million. Deposits are strong and growing, but the relatively low loan volume highlights a gap — Metro Bank is deposit-rich but under-leveraged on lending opportunities.</a:t>
          </a:r>
        </a:p>
        <a:p>
          <a:r>
            <a:rPr lang="en-US" sz="1100">
              <a:solidFill>
                <a:schemeClr val="bg1">
                  <a:lumMod val="85000"/>
                </a:schemeClr>
              </a:solidFill>
              <a:effectLst/>
              <a:latin typeface="+mn-lt"/>
              <a:ea typeface="+mn-ea"/>
              <a:cs typeface="+mn-cs"/>
            </a:rPr>
            <a:t> </a:t>
          </a:r>
        </a:p>
        <a:p>
          <a:r>
            <a:rPr lang="en-US" sz="1100" b="1">
              <a:solidFill>
                <a:schemeClr val="bg1">
                  <a:lumMod val="85000"/>
                </a:schemeClr>
              </a:solidFill>
              <a:effectLst/>
              <a:latin typeface="+mn-lt"/>
              <a:ea typeface="+mn-ea"/>
              <a:cs typeface="+mn-cs"/>
            </a:rPr>
            <a:t>Credit Profiles</a:t>
          </a:r>
          <a:endParaRPr lang="en-US" sz="1100">
            <a:solidFill>
              <a:schemeClr val="bg1">
                <a:lumMod val="85000"/>
              </a:schemeClr>
            </a:solidFill>
            <a:effectLst/>
            <a:latin typeface="+mn-lt"/>
            <a:ea typeface="+mn-ea"/>
            <a:cs typeface="+mn-cs"/>
          </a:endParaRPr>
        </a:p>
        <a:p>
          <a:r>
            <a:rPr lang="en-US" sz="1100">
              <a:solidFill>
                <a:schemeClr val="bg1">
                  <a:lumMod val="85000"/>
                </a:schemeClr>
              </a:solidFill>
              <a:effectLst/>
              <a:latin typeface="+mn-lt"/>
              <a:ea typeface="+mn-ea"/>
              <a:cs typeface="+mn-cs"/>
            </a:rPr>
            <a:t>The average credit score is 580 across the customer base. Loan decisions don’t fully align with credit score averages:</a:t>
          </a:r>
        </a:p>
        <a:p>
          <a:pPr lvl="0"/>
          <a:r>
            <a:rPr lang="en-US" sz="1100">
              <a:solidFill>
                <a:schemeClr val="bg1">
                  <a:lumMod val="85000"/>
                </a:schemeClr>
              </a:solidFill>
              <a:effectLst/>
              <a:latin typeface="+mn-lt"/>
              <a:ea typeface="+mn-ea"/>
              <a:cs typeface="+mn-cs"/>
            </a:rPr>
            <a:t>Approved customers scored 581 on average.</a:t>
          </a:r>
        </a:p>
        <a:p>
          <a:pPr lvl="0"/>
          <a:r>
            <a:rPr lang="en-US" sz="1100">
              <a:solidFill>
                <a:schemeClr val="bg1">
                  <a:lumMod val="85000"/>
                </a:schemeClr>
              </a:solidFill>
              <a:effectLst/>
              <a:latin typeface="+mn-lt"/>
              <a:ea typeface="+mn-ea"/>
              <a:cs typeface="+mn-cs"/>
            </a:rPr>
            <a:t>Rejected customers scored slightly higher at 592.</a:t>
          </a:r>
        </a:p>
        <a:p>
          <a:r>
            <a:rPr lang="en-US" sz="1100">
              <a:solidFill>
                <a:schemeClr val="bg1">
                  <a:lumMod val="85000"/>
                </a:schemeClr>
              </a:solidFill>
              <a:effectLst/>
              <a:latin typeface="+mn-lt"/>
              <a:ea typeface="+mn-ea"/>
              <a:cs typeface="+mn-cs"/>
            </a:rPr>
            <a:t>This suggests approval decisions depend on additional factors such as income, balances, or risk indicators, not credit scores alone.</a:t>
          </a:r>
        </a:p>
        <a:p>
          <a:r>
            <a:rPr lang="en-US" sz="1100">
              <a:solidFill>
                <a:schemeClr val="bg1">
                  <a:lumMod val="85000"/>
                </a:schemeClr>
              </a:solidFill>
              <a:effectLst/>
              <a:latin typeface="+mn-lt"/>
              <a:ea typeface="+mn-ea"/>
              <a:cs typeface="+mn-cs"/>
            </a:rPr>
            <a:t> </a:t>
          </a:r>
        </a:p>
        <a:p>
          <a:r>
            <a:rPr lang="en-US" sz="1100" b="1">
              <a:solidFill>
                <a:schemeClr val="bg1">
                  <a:lumMod val="85000"/>
                </a:schemeClr>
              </a:solidFill>
              <a:effectLst/>
              <a:latin typeface="+mn-lt"/>
              <a:ea typeface="+mn-ea"/>
              <a:cs typeface="+mn-cs"/>
            </a:rPr>
            <a:t>Balances by Customer Segment</a:t>
          </a:r>
          <a:endParaRPr lang="en-US" sz="1100">
            <a:solidFill>
              <a:schemeClr val="bg1">
                <a:lumMod val="85000"/>
              </a:schemeClr>
            </a:solidFill>
            <a:effectLst/>
            <a:latin typeface="+mn-lt"/>
            <a:ea typeface="+mn-ea"/>
            <a:cs typeface="+mn-cs"/>
          </a:endParaRPr>
        </a:p>
        <a:p>
          <a:r>
            <a:rPr lang="en-US" sz="1100">
              <a:solidFill>
                <a:schemeClr val="bg1">
                  <a:lumMod val="85000"/>
                </a:schemeClr>
              </a:solidFill>
              <a:effectLst/>
              <a:latin typeface="+mn-lt"/>
              <a:ea typeface="+mn-ea"/>
              <a:cs typeface="+mn-cs"/>
            </a:rPr>
            <a:t>A closer look at customer groups shows two perspectives:</a:t>
          </a:r>
        </a:p>
        <a:p>
          <a:r>
            <a:rPr lang="en-US" sz="1100" b="1">
              <a:solidFill>
                <a:schemeClr val="bg1">
                  <a:lumMod val="85000"/>
                </a:schemeClr>
              </a:solidFill>
              <a:effectLst/>
              <a:latin typeface="+mn-lt"/>
              <a:ea typeface="+mn-ea"/>
              <a:cs typeface="+mn-cs"/>
            </a:rPr>
            <a:t>Total deposit balance:</a:t>
          </a:r>
          <a:r>
            <a:rPr lang="en-US" sz="1100">
              <a:solidFill>
                <a:schemeClr val="bg1">
                  <a:lumMod val="85000"/>
                </a:schemeClr>
              </a:solidFill>
              <a:effectLst/>
              <a:latin typeface="+mn-lt"/>
              <a:ea typeface="+mn-ea"/>
              <a:cs typeface="+mn-cs"/>
            </a:rPr>
            <a:t> Retail customers contributed the most overall, reflecting their large numbers. Corporate follows, then private.</a:t>
          </a:r>
        </a:p>
        <a:p>
          <a:r>
            <a:rPr lang="en-US" sz="1100" b="1">
              <a:solidFill>
                <a:schemeClr val="bg1">
                  <a:lumMod val="85000"/>
                </a:schemeClr>
              </a:solidFill>
              <a:effectLst/>
              <a:latin typeface="+mn-lt"/>
              <a:ea typeface="+mn-ea"/>
              <a:cs typeface="+mn-cs"/>
            </a:rPr>
            <a:t>Average deposit balance:</a:t>
          </a:r>
          <a:r>
            <a:rPr lang="en-US" sz="1100">
              <a:solidFill>
                <a:schemeClr val="bg1">
                  <a:lumMod val="85000"/>
                </a:schemeClr>
              </a:solidFill>
              <a:effectLst/>
              <a:latin typeface="+mn-lt"/>
              <a:ea typeface="+mn-ea"/>
              <a:cs typeface="+mn-cs"/>
            </a:rPr>
            <a:t> Private customers lead with the highest per-customer balance, followed by retail, then corporate.</a:t>
          </a:r>
        </a:p>
        <a:p>
          <a:r>
            <a:rPr lang="en-US" sz="1100">
              <a:solidFill>
                <a:schemeClr val="bg1">
                  <a:lumMod val="85000"/>
                </a:schemeClr>
              </a:solidFill>
              <a:effectLst/>
              <a:latin typeface="+mn-lt"/>
              <a:ea typeface="+mn-ea"/>
              <a:cs typeface="+mn-cs"/>
            </a:rPr>
            <a:t>This distinction highlights that retail drives volume, while private customers bring concentrated wealth.</a:t>
          </a:r>
        </a:p>
        <a:p>
          <a:r>
            <a:rPr lang="en-US" sz="1100">
              <a:solidFill>
                <a:schemeClr val="bg1">
                  <a:lumMod val="85000"/>
                </a:schemeClr>
              </a:solidFill>
              <a:effectLst/>
              <a:latin typeface="+mn-lt"/>
              <a:ea typeface="+mn-ea"/>
              <a:cs typeface="+mn-cs"/>
            </a:rPr>
            <a:t> </a:t>
          </a:r>
        </a:p>
        <a:p>
          <a:r>
            <a:rPr lang="en-US" sz="1100" b="1">
              <a:solidFill>
                <a:schemeClr val="bg1">
                  <a:lumMod val="85000"/>
                </a:schemeClr>
              </a:solidFill>
              <a:effectLst/>
              <a:latin typeface="+mn-lt"/>
              <a:ea typeface="+mn-ea"/>
              <a:cs typeface="+mn-cs"/>
            </a:rPr>
            <a:t>Balances by Age Group</a:t>
          </a:r>
          <a:endParaRPr lang="en-US" sz="1100">
            <a:solidFill>
              <a:schemeClr val="bg1">
                <a:lumMod val="85000"/>
              </a:schemeClr>
            </a:solidFill>
            <a:effectLst/>
            <a:latin typeface="+mn-lt"/>
            <a:ea typeface="+mn-ea"/>
            <a:cs typeface="+mn-cs"/>
          </a:endParaRPr>
        </a:p>
        <a:p>
          <a:r>
            <a:rPr lang="en-US" sz="1100">
              <a:solidFill>
                <a:schemeClr val="bg1">
                  <a:lumMod val="85000"/>
                </a:schemeClr>
              </a:solidFill>
              <a:effectLst/>
              <a:latin typeface="+mn-lt"/>
              <a:ea typeface="+mn-ea"/>
              <a:cs typeface="+mn-cs"/>
            </a:rPr>
            <a:t>When segmented by age, Millennials and Gen Z customers hold higher average balances than older generations. These finding challenges traditional assumptions that Boomers and Gen X dominate wealth and suggest that younger customers are already significant contributors to Metro Bank’s portfolio.</a:t>
          </a:r>
        </a:p>
        <a:p>
          <a:r>
            <a:rPr lang="en-US" sz="1100">
              <a:solidFill>
                <a:schemeClr val="bg1">
                  <a:lumMod val="85000"/>
                </a:schemeClr>
              </a:solidFill>
              <a:effectLst/>
              <a:latin typeface="+mn-lt"/>
              <a:ea typeface="+mn-ea"/>
              <a:cs typeface="+mn-cs"/>
            </a:rPr>
            <a:t> </a:t>
          </a:r>
        </a:p>
        <a:p>
          <a:r>
            <a:rPr lang="en-US" sz="1100" b="1">
              <a:solidFill>
                <a:schemeClr val="bg1">
                  <a:lumMod val="85000"/>
                </a:schemeClr>
              </a:solidFill>
              <a:effectLst/>
              <a:latin typeface="+mn-lt"/>
              <a:ea typeface="+mn-ea"/>
              <a:cs typeface="+mn-cs"/>
            </a:rPr>
            <a:t>Deposits Over Time</a:t>
          </a:r>
          <a:endParaRPr lang="en-US" sz="1100">
            <a:solidFill>
              <a:schemeClr val="bg1">
                <a:lumMod val="85000"/>
              </a:schemeClr>
            </a:solidFill>
            <a:effectLst/>
            <a:latin typeface="+mn-lt"/>
            <a:ea typeface="+mn-ea"/>
            <a:cs typeface="+mn-cs"/>
          </a:endParaRPr>
        </a:p>
        <a:p>
          <a:r>
            <a:rPr lang="en-US" sz="1100">
              <a:solidFill>
                <a:schemeClr val="bg1">
                  <a:lumMod val="85000"/>
                </a:schemeClr>
              </a:solidFill>
              <a:effectLst/>
              <a:latin typeface="+mn-lt"/>
              <a:ea typeface="+mn-ea"/>
              <a:cs typeface="+mn-cs"/>
            </a:rPr>
            <a:t>Deposit balances have steadily increased year after year from 2015 through 2025. This growth reflects both customer loyalty and the bank’s ability to attract new deposits over time, reinforcing stability in its customer relationships.</a:t>
          </a:r>
        </a:p>
        <a:p>
          <a:r>
            <a:rPr lang="en-US" sz="1100">
              <a:solidFill>
                <a:schemeClr val="bg1">
                  <a:lumMod val="85000"/>
                </a:schemeClr>
              </a:solidFill>
              <a:effectLst/>
              <a:latin typeface="+mn-lt"/>
              <a:ea typeface="+mn-ea"/>
              <a:cs typeface="+mn-cs"/>
            </a:rPr>
            <a:t> </a:t>
          </a:r>
        </a:p>
        <a:p>
          <a:r>
            <a:rPr lang="en-US" sz="1100" b="1">
              <a:solidFill>
                <a:schemeClr val="bg1">
                  <a:lumMod val="85000"/>
                </a:schemeClr>
              </a:solidFill>
              <a:effectLst/>
              <a:latin typeface="+mn-lt"/>
              <a:ea typeface="+mn-ea"/>
              <a:cs typeface="+mn-cs"/>
            </a:rPr>
            <a:t>High-Value Customers</a:t>
          </a:r>
          <a:endParaRPr lang="en-US" sz="1100">
            <a:solidFill>
              <a:schemeClr val="bg1">
                <a:lumMod val="85000"/>
              </a:schemeClr>
            </a:solidFill>
            <a:effectLst/>
            <a:latin typeface="+mn-lt"/>
            <a:ea typeface="+mn-ea"/>
            <a:cs typeface="+mn-cs"/>
          </a:endParaRPr>
        </a:p>
        <a:p>
          <a:r>
            <a:rPr lang="en-US" sz="1100">
              <a:solidFill>
                <a:schemeClr val="bg1">
                  <a:lumMod val="85000"/>
                </a:schemeClr>
              </a:solidFill>
              <a:effectLst/>
              <a:latin typeface="+mn-lt"/>
              <a:ea typeface="+mn-ea"/>
              <a:cs typeface="+mn-cs"/>
            </a:rPr>
            <a:t>The top five individual customers each maintain balances exceeding $1.7 million, underscoring the importance of high-net-worth clients.</a:t>
          </a:r>
        </a:p>
        <a:p>
          <a:r>
            <a:rPr lang="en-US" sz="1100">
              <a:solidFill>
                <a:schemeClr val="bg1">
                  <a:lumMod val="85000"/>
                </a:schemeClr>
              </a:solidFill>
              <a:effectLst/>
              <a:latin typeface="+mn-lt"/>
              <a:ea typeface="+mn-ea"/>
              <a:cs typeface="+mn-cs"/>
            </a:rPr>
            <a:t>By occupation, bankers, doctors, and engineers stand out with the largest deposit balances, pointing to strong ties with professional income groups.</a:t>
          </a:r>
        </a:p>
        <a:p>
          <a:r>
            <a:rPr lang="en-US" sz="1100">
              <a:solidFill>
                <a:schemeClr val="bg1">
                  <a:lumMod val="85000"/>
                </a:schemeClr>
              </a:solidFill>
              <a:effectLst/>
              <a:latin typeface="+mn-lt"/>
              <a:ea typeface="+mn-ea"/>
              <a:cs typeface="+mn-cs"/>
            </a:rPr>
            <a:t> </a:t>
          </a:r>
        </a:p>
        <a:p>
          <a:r>
            <a:rPr lang="en-US" sz="1100" b="1">
              <a:solidFill>
                <a:schemeClr val="bg1">
                  <a:lumMod val="85000"/>
                </a:schemeClr>
              </a:solidFill>
              <a:effectLst/>
              <a:latin typeface="+mn-lt"/>
              <a:ea typeface="+mn-ea"/>
              <a:cs typeface="+mn-cs"/>
            </a:rPr>
            <a:t>Conclusion</a:t>
          </a:r>
          <a:endParaRPr lang="en-US" sz="1100">
            <a:solidFill>
              <a:schemeClr val="bg1">
                <a:lumMod val="85000"/>
              </a:schemeClr>
            </a:solidFill>
            <a:effectLst/>
            <a:latin typeface="+mn-lt"/>
            <a:ea typeface="+mn-ea"/>
            <a:cs typeface="+mn-cs"/>
          </a:endParaRPr>
        </a:p>
        <a:p>
          <a:r>
            <a:rPr lang="en-US" sz="1100">
              <a:solidFill>
                <a:schemeClr val="bg1">
                  <a:lumMod val="85000"/>
                </a:schemeClr>
              </a:solidFill>
              <a:effectLst/>
              <a:latin typeface="+mn-lt"/>
              <a:ea typeface="+mn-ea"/>
              <a:cs typeface="+mn-cs"/>
            </a:rPr>
            <a:t>Metro Bank’s customer relationships show both breadth and depth: retail customers drive the largest deposit totals, private customers bring the highest average balances, and younger generations already hold significant wealth. Deposits are strong and growing, but lending remains an untapped opportunity. When viewed alongside Week 1’s findings on demographics, this analysis shows not only who the Metro Bank customer is, but also how they bank — offering valuable insights for long-term strategy.</a:t>
          </a:r>
        </a:p>
        <a:p>
          <a:endParaRPr lang="en-US" sz="1100">
            <a:solidFill>
              <a:schemeClr val="bg1">
                <a:lumMod val="85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906.548288541664" createdVersion="5" refreshedVersion="8" minRefreshableVersion="3" recordCount="0" supportSubquery="1" supportAdvancedDrill="1" xr:uid="{49F288C9-A09D-4CF6-8497-C03CFDA43CC3}">
  <cacheSource type="external" connectionId="5"/>
  <cacheFields count="2">
    <cacheField name="[accounts].[Open_Date (Year)].[Open_Date (Year)]" caption="Open_Date (Year)" numFmtId="0" hierarchy="9" level="1">
      <sharedItems count="11">
        <s v="2015"/>
        <s v="2016"/>
        <s v="2017"/>
        <s v="2018"/>
        <s v="2019"/>
        <s v="2020"/>
        <s v="2021"/>
        <s v="2022"/>
        <s v="2023"/>
        <s v="2024"/>
        <s v="2025"/>
      </sharedItems>
    </cacheField>
    <cacheField name="[Measures].[TOTAL DEPOSIT BALANCE]" caption="TOTAL DEPOSIT BALANCE" numFmtId="0" hierarchy="26" level="32767"/>
  </cacheFields>
  <cacheHierarchies count="40">
    <cacheHierarchy uniqueName="[A].[Measures]" caption="Measures" attribute="1" defaultMemberUniqueName="[A].[Measures].[All]" allUniqueName="[A].[Measures].[All]" dimensionUniqueName="[A]" displayFolder="" count="0" memberValueDatatype="130" unbalanced="0"/>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Open_Date (Year)]" caption="Open_Date (Year)" attribute="1" defaultMemberUniqueName="[accounts].[Open_Date (Year)].[All]" allUniqueName="[accounts].[Open_Date (Year)].[All]" dimensionUniqueName="[accounts]" displayFolder="" count="2" memberValueDatatype="130" unbalanced="0">
      <fieldsUsage count="2">
        <fieldUsage x="-1"/>
        <fieldUsage x="0"/>
      </fieldsUsage>
    </cacheHierarchy>
    <cacheHierarchy uniqueName="[accounts].[Open_Date (Quarter)]" caption="Open_Date (Quarter)" attribute="1" defaultMemberUniqueName="[accounts].[Open_Date (Quarter)].[All]" allUniqueName="[accounts].[Open_Date (Quarter)].[All]" dimensionUniqueName="[accounts]" displayFolder="" count="0" memberValueDatatype="130" unbalanced="0"/>
    <cacheHierarchy uniqueName="[accounts].[Open_Date (Month)]" caption="Open_Date (Month)" attribute="1" defaultMemberUniqueName="[accounts].[Open_Date (Month)].[All]" allUniqueName="[accounts].[Open_Date (Month)].[All]" dimensionUniqueName="[account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5"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Income_Bracket]" caption="Income_Bracket" attribute="1" defaultMemberUniqueName="[Customers].[Income_Bracket].[All]" allUniqueName="[Customers].[Income_Bracket].[All]" dimensionUniqueName="[Customers]" displayFolder="" count="0" memberValueDatatype="130" unbalanced="0"/>
    <cacheHierarchy uniqueName="[Customers].[Tenure (Years)]" caption="Tenure (Years)" attribute="1" defaultMemberUniqueName="[Customers].[Tenure (Years)].[All]" allUniqueName="[Customers].[Tenure (Years)].[All]" dimensionUniqueName="[Customers]" displayFolder="" count="0" memberValueDatatype="5" unbalanced="0"/>
    <cacheHierarchy uniqueName="[Customers].[Tenure_Bracket]" caption="Tenure_Bracket" attribute="1" defaultMemberUniqueName="[Customers].[Tenure_Bracket].[All]" allUniqueName="[Customers].[Tenure_Bracket].[All]" dimensionUniqueName="[Customers]" displayFolder="" count="0" memberValueDatatype="130" unbalanced="0"/>
    <cacheHierarchy uniqueName="[accounts].[Open_Date (Month Index)]" caption="Open_Date (Month Index)" attribute="1" defaultMemberUniqueName="[accounts].[Open_Date (Month Index)].[All]" allUniqueName="[accounts].[Open_Date (Month Index)].[All]" dimensionUniqueName="[accounts]" displayFolder="" count="0" memberValueDatatype="20" unbalanced="0" hidden="1"/>
    <cacheHierarchy uniqueName="[Measures].[TOTAL DEPOSIT BALANCE]" caption="TOTAL DEPOSIT BALANCE" measure="1" displayFolder="" measureGroup="A" count="0" oneField="1">
      <fieldsUsage count="1">
        <fieldUsage x="1"/>
      </fieldsUsage>
    </cacheHierarchy>
    <cacheHierarchy uniqueName="[Measures].[TOTAL CUSTOMERS]" caption="TOTAL CUSTOMERS" measure="1" displayFolder="" measureGroup="A" count="0"/>
    <cacheHierarchy uniqueName="[Measures].[TOTAL APPROVED LOAN]" caption="TOTAL APPROVED LOAN" measure="1" displayFolder="" measureGroup="A" count="0"/>
    <cacheHierarchy uniqueName="[Measures].[PRODUCTS PER CUSTOMER]" caption="PRODUCTS PER CUSTOMER" measure="1" displayFolder="" measureGroup="A" count="0"/>
    <cacheHierarchy uniqueName="[Measures].[CUSTOMERS WITH &gt;1 PRODUCTS]" caption="CUSTOMERS WITH &gt;1 PRODUCTS" measure="1" displayFolder="" measureGroup="A" count="0"/>
    <cacheHierarchy uniqueName="[Measures].[AVERAGE CREDIT SCORE]" caption="AVERAGE CREDIT SCORE" measure="1" displayFolder="" measureGroup="A" count="0"/>
    <cacheHierarchy uniqueName="[Measures].[AVERAGE BALANCE]" caption="AVERAGE BALANCE" measure="1" displayFolder="" measureGroup="A" count="0"/>
    <cacheHierarchy uniqueName="[Measures].[__XL_Count accounts]" caption="__XL_Count accounts" measure="1" displayFolder="" measureGroup="accounts" count="0" hidden="1"/>
    <cacheHierarchy uniqueName="[Measures].[__XL_Count A]" caption="__XL_Count A" measure="1" displayFolder="" measureGroup="A"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6"/>
        </ext>
      </extLst>
    </cacheHierarchy>
    <cacheHierarchy uniqueName="[Measures].[Max of Credit_Score]" caption="Max of Credit_Score" measure="1" displayFolder="" measureGroup="accounts" count="0" hidden="1">
      <extLst>
        <ext xmlns:x15="http://schemas.microsoft.com/office/spreadsheetml/2010/11/main" uri="{B97F6D7D-B522-45F9-BDA1-12C45D357490}">
          <x15:cacheHierarchy aggregatedColumn="6"/>
        </ext>
      </extLst>
    </cacheHierarchy>
  </cacheHierarchies>
  <kpis count="0"/>
  <dimensions count="4">
    <dimension name="A" uniqueName="[A]" caption="A"/>
    <dimension name="accounts" uniqueName="[accounts]" caption="accounts"/>
    <dimension name="Customers" uniqueName="[Customers]" caption="Customers"/>
    <dimension measure="1" name="Measures" uniqueName="[Measures]" caption="Measures"/>
  </dimensions>
  <measureGroups count="3">
    <measureGroup name="A" caption="A"/>
    <measureGroup name="accounts" caption="accounts"/>
    <measureGroup name="Customers" caption="Customers"/>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906.547630555557" createdVersion="5" refreshedVersion="8" minRefreshableVersion="3" recordCount="0" supportSubquery="1" supportAdvancedDrill="1" xr:uid="{FDDF268A-2ED1-47F6-B721-281F46934EC1}">
  <cacheSource type="external" connectionId="5"/>
  <cacheFields count="2">
    <cacheField name="[Measures].[AVERAGE CREDIT SCORE]" caption="AVERAGE CREDIT SCORE" numFmtId="0" hierarchy="31" level="32767"/>
    <cacheField name="[accounts].[Loan_Status].[Loan_Status]" caption="Loan_Status" numFmtId="0" hierarchy="8" level="1">
      <sharedItems count="2">
        <s v="Approved"/>
        <s v="Rejected"/>
      </sharedItems>
    </cacheField>
  </cacheFields>
  <cacheHierarchies count="40">
    <cacheHierarchy uniqueName="[A].[Measures]" caption="Measures" attribute="1" defaultMemberUniqueName="[A].[Measures].[All]" allUniqueName="[A].[Measures].[All]" dimensionUniqueName="[A]" displayFolder="" count="0" memberValueDatatype="130" unbalanced="0"/>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2" memberValueDatatype="130" unbalanced="0">
      <fieldsUsage count="2">
        <fieldUsage x="-1"/>
        <fieldUsage x="1"/>
      </fieldsUsage>
    </cacheHierarchy>
    <cacheHierarchy uniqueName="[accounts].[Open_Date (Year)]" caption="Open_Date (Year)" attribute="1" defaultMemberUniqueName="[accounts].[Open_Date (Year)].[All]" allUniqueName="[accounts].[Open_Date (Year)].[All]" dimensionUniqueName="[accounts]" displayFolder="" count="0" memberValueDatatype="130" unbalanced="0"/>
    <cacheHierarchy uniqueName="[accounts].[Open_Date (Quarter)]" caption="Open_Date (Quarter)" attribute="1" defaultMemberUniqueName="[accounts].[Open_Date (Quarter)].[All]" allUniqueName="[accounts].[Open_Date (Quarter)].[All]" dimensionUniqueName="[accounts]" displayFolder="" count="0" memberValueDatatype="130" unbalanced="0"/>
    <cacheHierarchy uniqueName="[accounts].[Open_Date (Month)]" caption="Open_Date (Month)" attribute="1" defaultMemberUniqueName="[accounts].[Open_Date (Month)].[All]" allUniqueName="[accounts].[Open_Date (Month)].[All]" dimensionUniqueName="[account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5"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Income_Bracket]" caption="Income_Bracket" attribute="1" defaultMemberUniqueName="[Customers].[Income_Bracket].[All]" allUniqueName="[Customers].[Income_Bracket].[All]" dimensionUniqueName="[Customers]" displayFolder="" count="0" memberValueDatatype="130" unbalanced="0"/>
    <cacheHierarchy uniqueName="[Customers].[Tenure (Years)]" caption="Tenure (Years)" attribute="1" defaultMemberUniqueName="[Customers].[Tenure (Years)].[All]" allUniqueName="[Customers].[Tenure (Years)].[All]" dimensionUniqueName="[Customers]" displayFolder="" count="0" memberValueDatatype="5" unbalanced="0"/>
    <cacheHierarchy uniqueName="[Customers].[Tenure_Bracket]" caption="Tenure_Bracket" attribute="1" defaultMemberUniqueName="[Customers].[Tenure_Bracket].[All]" allUniqueName="[Customers].[Tenure_Bracket].[All]" dimensionUniqueName="[Customers]" displayFolder="" count="0" memberValueDatatype="130" unbalanced="0"/>
    <cacheHierarchy uniqueName="[accounts].[Open_Date (Month Index)]" caption="Open_Date (Month Index)" attribute="1" defaultMemberUniqueName="[accounts].[Open_Date (Month Index)].[All]" allUniqueName="[accounts].[Open_Date (Month Index)].[All]" dimensionUniqueName="[accounts]" displayFolder="" count="0" memberValueDatatype="20" unbalanced="0" hidden="1"/>
    <cacheHierarchy uniqueName="[Measures].[TOTAL DEPOSIT BALANCE]" caption="TOTAL DEPOSIT BALANCE" measure="1" displayFolder="" measureGroup="A" count="0"/>
    <cacheHierarchy uniqueName="[Measures].[TOTAL CUSTOMERS]" caption="TOTAL CUSTOMERS" measure="1" displayFolder="" measureGroup="A" count="0"/>
    <cacheHierarchy uniqueName="[Measures].[TOTAL APPROVED LOAN]" caption="TOTAL APPROVED LOAN" measure="1" displayFolder="" measureGroup="A" count="0"/>
    <cacheHierarchy uniqueName="[Measures].[PRODUCTS PER CUSTOMER]" caption="PRODUCTS PER CUSTOMER" measure="1" displayFolder="" measureGroup="A" count="0"/>
    <cacheHierarchy uniqueName="[Measures].[CUSTOMERS WITH &gt;1 PRODUCTS]" caption="CUSTOMERS WITH &gt;1 PRODUCTS" measure="1" displayFolder="" measureGroup="A" count="0"/>
    <cacheHierarchy uniqueName="[Measures].[AVERAGE CREDIT SCORE]" caption="AVERAGE CREDIT SCORE" measure="1" displayFolder="" measureGroup="A" count="0" oneField="1">
      <fieldsUsage count="1">
        <fieldUsage x="0"/>
      </fieldsUsage>
    </cacheHierarchy>
    <cacheHierarchy uniqueName="[Measures].[AVERAGE BALANCE]" caption="AVERAGE BALANCE" measure="1" displayFolder="" measureGroup="A" count="0"/>
    <cacheHierarchy uniqueName="[Measures].[__XL_Count accounts]" caption="__XL_Count accounts" measure="1" displayFolder="" measureGroup="accounts" count="0" hidden="1"/>
    <cacheHierarchy uniqueName="[Measures].[__XL_Count A]" caption="__XL_Count A" measure="1" displayFolder="" measureGroup="A"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6"/>
        </ext>
      </extLst>
    </cacheHierarchy>
    <cacheHierarchy uniqueName="[Measures].[Max of Credit_Score]" caption="Max of Credit_Score" measure="1" displayFolder="" measureGroup="accounts" count="0" hidden="1">
      <extLst>
        <ext xmlns:x15="http://schemas.microsoft.com/office/spreadsheetml/2010/11/main" uri="{B97F6D7D-B522-45F9-BDA1-12C45D357490}">
          <x15:cacheHierarchy aggregatedColumn="6"/>
        </ext>
      </extLst>
    </cacheHierarchy>
  </cacheHierarchies>
  <kpis count="0"/>
  <dimensions count="4">
    <dimension name="A" uniqueName="[A]" caption="A"/>
    <dimension name="accounts" uniqueName="[accounts]" caption="accounts"/>
    <dimension name="Customers" uniqueName="[Customers]" caption="Customers"/>
    <dimension measure="1" name="Measures" uniqueName="[Measures]" caption="Measures"/>
  </dimensions>
  <measureGroups count="3">
    <measureGroup name="A" caption="A"/>
    <measureGroup name="accounts" caption="accounts"/>
    <measureGroup name="Customers" caption="Customers"/>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906.547621527781" createdVersion="5" refreshedVersion="8" minRefreshableVersion="3" recordCount="0" supportSubquery="1" supportAdvancedDrill="1" xr:uid="{AF59B5CF-F368-49FD-B4CE-64100FDD903E}">
  <cacheSource type="external" connectionId="5"/>
  <cacheFields count="1">
    <cacheField name="[Measures].[CUSTOMERS WITH &gt;1 PRODUCTS]" caption="CUSTOMERS WITH &gt;1 PRODUCTS" numFmtId="0" hierarchy="30" level="32767"/>
  </cacheFields>
  <cacheHierarchies count="40">
    <cacheHierarchy uniqueName="[A].[Measures]" caption="Measures" attribute="1" defaultMemberUniqueName="[A].[Measures].[All]" allUniqueName="[A].[Measures].[All]" dimensionUniqueName="[A]" displayFolder="" count="0" memberValueDatatype="130" unbalanced="0"/>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accounts].[Open_Date (Quarter)]" caption="Open_Date (Quarter)" attribute="1" defaultMemberUniqueName="[accounts].[Open_Date (Quarter)].[All]" allUniqueName="[accounts].[Open_Date (Quarter)].[All]" dimensionUniqueName="[accounts]" displayFolder="" count="0" memberValueDatatype="130" unbalanced="0"/>
    <cacheHierarchy uniqueName="[accounts].[Open_Date (Month)]" caption="Open_Date (Month)" attribute="1" defaultMemberUniqueName="[accounts].[Open_Date (Month)].[All]" allUniqueName="[accounts].[Open_Date (Month)].[All]" dimensionUniqueName="[account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5"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Income_Bracket]" caption="Income_Bracket" attribute="1" defaultMemberUniqueName="[Customers].[Income_Bracket].[All]" allUniqueName="[Customers].[Income_Bracket].[All]" dimensionUniqueName="[Customers]" displayFolder="" count="0" memberValueDatatype="130" unbalanced="0"/>
    <cacheHierarchy uniqueName="[Customers].[Tenure (Years)]" caption="Tenure (Years)" attribute="1" defaultMemberUniqueName="[Customers].[Tenure (Years)].[All]" allUniqueName="[Customers].[Tenure (Years)].[All]" dimensionUniqueName="[Customers]" displayFolder="" count="0" memberValueDatatype="5" unbalanced="0"/>
    <cacheHierarchy uniqueName="[Customers].[Tenure_Bracket]" caption="Tenure_Bracket" attribute="1" defaultMemberUniqueName="[Customers].[Tenure_Bracket].[All]" allUniqueName="[Customers].[Tenure_Bracket].[All]" dimensionUniqueName="[Customers]" displayFolder="" count="0" memberValueDatatype="130" unbalanced="0"/>
    <cacheHierarchy uniqueName="[accounts].[Open_Date (Month Index)]" caption="Open_Date (Month Index)" attribute="1" defaultMemberUniqueName="[accounts].[Open_Date (Month Index)].[All]" allUniqueName="[accounts].[Open_Date (Month Index)].[All]" dimensionUniqueName="[accounts]" displayFolder="" count="0" memberValueDatatype="20" unbalanced="0" hidden="1"/>
    <cacheHierarchy uniqueName="[Measures].[TOTAL DEPOSIT BALANCE]" caption="TOTAL DEPOSIT BALANCE" measure="1" displayFolder="" measureGroup="A" count="0"/>
    <cacheHierarchy uniqueName="[Measures].[TOTAL CUSTOMERS]" caption="TOTAL CUSTOMERS" measure="1" displayFolder="" measureGroup="A" count="0"/>
    <cacheHierarchy uniqueName="[Measures].[TOTAL APPROVED LOAN]" caption="TOTAL APPROVED LOAN" measure="1" displayFolder="" measureGroup="A" count="0"/>
    <cacheHierarchy uniqueName="[Measures].[PRODUCTS PER CUSTOMER]" caption="PRODUCTS PER CUSTOMER" measure="1" displayFolder="" measureGroup="A" count="0"/>
    <cacheHierarchy uniqueName="[Measures].[CUSTOMERS WITH &gt;1 PRODUCTS]" caption="CUSTOMERS WITH &gt;1 PRODUCTS" measure="1" displayFolder="" measureGroup="A" count="0" oneField="1">
      <fieldsUsage count="1">
        <fieldUsage x="0"/>
      </fieldsUsage>
    </cacheHierarchy>
    <cacheHierarchy uniqueName="[Measures].[AVERAGE CREDIT SCORE]" caption="AVERAGE CREDIT SCORE" measure="1" displayFolder="" measureGroup="A" count="0"/>
    <cacheHierarchy uniqueName="[Measures].[AVERAGE BALANCE]" caption="AVERAGE BALANCE" measure="1" displayFolder="" measureGroup="A" count="0"/>
    <cacheHierarchy uniqueName="[Measures].[__XL_Count accounts]" caption="__XL_Count accounts" measure="1" displayFolder="" measureGroup="accounts" count="0" hidden="1"/>
    <cacheHierarchy uniqueName="[Measures].[__XL_Count A]" caption="__XL_Count A" measure="1" displayFolder="" measureGroup="A"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6"/>
        </ext>
      </extLst>
    </cacheHierarchy>
    <cacheHierarchy uniqueName="[Measures].[Max of Credit_Score]" caption="Max of Credit_Score" measure="1" displayFolder="" measureGroup="accounts" count="0" hidden="1">
      <extLst>
        <ext xmlns:x15="http://schemas.microsoft.com/office/spreadsheetml/2010/11/main" uri="{B97F6D7D-B522-45F9-BDA1-12C45D357490}">
          <x15:cacheHierarchy aggregatedColumn="6"/>
        </ext>
      </extLst>
    </cacheHierarchy>
  </cacheHierarchies>
  <kpis count="0"/>
  <dimensions count="4">
    <dimension name="A" uniqueName="[A]" caption="A"/>
    <dimension name="accounts" uniqueName="[accounts]" caption="accounts"/>
    <dimension name="Customers" uniqueName="[Customers]" caption="Customers"/>
    <dimension measure="1" name="Measures" uniqueName="[Measures]" caption="Measures"/>
  </dimensions>
  <measureGroups count="3">
    <measureGroup name="A" caption="A"/>
    <measureGroup name="accounts" caption="accounts"/>
    <measureGroup name="Customers" caption="Customers"/>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906.547624421299" createdVersion="5" refreshedVersion="8" minRefreshableVersion="3" recordCount="0" supportSubquery="1" supportAdvancedDrill="1" xr:uid="{6058F848-EA54-458A-9949-4F64B5D3C7FE}">
  <cacheSource type="external" connectionId="5"/>
  <cacheFields count="2">
    <cacheField name="[Measures].[TOTAL DEPOSIT BALANCE]" caption="TOTAL DEPOSIT BALANCE" numFmtId="0" hierarchy="26" level="32767"/>
    <cacheField name="[Measures].[TOTAL APPROVED LOAN]" caption="TOTAL APPROVED LOAN" numFmtId="0" hierarchy="28" level="32767"/>
  </cacheFields>
  <cacheHierarchies count="40">
    <cacheHierarchy uniqueName="[A].[Measures]" caption="Measures" attribute="1" defaultMemberUniqueName="[A].[Measures].[All]" allUniqueName="[A].[Measures].[All]" dimensionUniqueName="[A]" displayFolder="" count="0" memberValueDatatype="130" unbalanced="0"/>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accounts].[Open_Date (Quarter)]" caption="Open_Date (Quarter)" attribute="1" defaultMemberUniqueName="[accounts].[Open_Date (Quarter)].[All]" allUniqueName="[accounts].[Open_Date (Quarter)].[All]" dimensionUniqueName="[accounts]" displayFolder="" count="0" memberValueDatatype="130" unbalanced="0"/>
    <cacheHierarchy uniqueName="[accounts].[Open_Date (Month)]" caption="Open_Date (Month)" attribute="1" defaultMemberUniqueName="[accounts].[Open_Date (Month)].[All]" allUniqueName="[accounts].[Open_Date (Month)].[All]" dimensionUniqueName="[account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5"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Income_Bracket]" caption="Income_Bracket" attribute="1" defaultMemberUniqueName="[Customers].[Income_Bracket].[All]" allUniqueName="[Customers].[Income_Bracket].[All]" dimensionUniqueName="[Customers]" displayFolder="" count="0" memberValueDatatype="130" unbalanced="0"/>
    <cacheHierarchy uniqueName="[Customers].[Tenure (Years)]" caption="Tenure (Years)" attribute="1" defaultMemberUniqueName="[Customers].[Tenure (Years)].[All]" allUniqueName="[Customers].[Tenure (Years)].[All]" dimensionUniqueName="[Customers]" displayFolder="" count="0" memberValueDatatype="5" unbalanced="0"/>
    <cacheHierarchy uniqueName="[Customers].[Tenure_Bracket]" caption="Tenure_Bracket" attribute="1" defaultMemberUniqueName="[Customers].[Tenure_Bracket].[All]" allUniqueName="[Customers].[Tenure_Bracket].[All]" dimensionUniqueName="[Customers]" displayFolder="" count="0" memberValueDatatype="130" unbalanced="0"/>
    <cacheHierarchy uniqueName="[accounts].[Open_Date (Month Index)]" caption="Open_Date (Month Index)" attribute="1" defaultMemberUniqueName="[accounts].[Open_Date (Month Index)].[All]" allUniqueName="[accounts].[Open_Date (Month Index)].[All]" dimensionUniqueName="[accounts]" displayFolder="" count="0" memberValueDatatype="20" unbalanced="0" hidden="1"/>
    <cacheHierarchy uniqueName="[Measures].[TOTAL DEPOSIT BALANCE]" caption="TOTAL DEPOSIT BALANCE" measure="1" displayFolder="" measureGroup="A" count="0" oneField="1">
      <fieldsUsage count="1">
        <fieldUsage x="0"/>
      </fieldsUsage>
    </cacheHierarchy>
    <cacheHierarchy uniqueName="[Measures].[TOTAL CUSTOMERS]" caption="TOTAL CUSTOMERS" measure="1" displayFolder="" measureGroup="A" count="0"/>
    <cacheHierarchy uniqueName="[Measures].[TOTAL APPROVED LOAN]" caption="TOTAL APPROVED LOAN" measure="1" displayFolder="" measureGroup="A" count="0" oneField="1">
      <fieldsUsage count="1">
        <fieldUsage x="1"/>
      </fieldsUsage>
    </cacheHierarchy>
    <cacheHierarchy uniqueName="[Measures].[PRODUCTS PER CUSTOMER]" caption="PRODUCTS PER CUSTOMER" measure="1" displayFolder="" measureGroup="A" count="0"/>
    <cacheHierarchy uniqueName="[Measures].[CUSTOMERS WITH &gt;1 PRODUCTS]" caption="CUSTOMERS WITH &gt;1 PRODUCTS" measure="1" displayFolder="" measureGroup="A" count="0"/>
    <cacheHierarchy uniqueName="[Measures].[AVERAGE CREDIT SCORE]" caption="AVERAGE CREDIT SCORE" measure="1" displayFolder="" measureGroup="A" count="0"/>
    <cacheHierarchy uniqueName="[Measures].[AVERAGE BALANCE]" caption="AVERAGE BALANCE" measure="1" displayFolder="" measureGroup="A" count="0"/>
    <cacheHierarchy uniqueName="[Measures].[__XL_Count accounts]" caption="__XL_Count accounts" measure="1" displayFolder="" measureGroup="accounts" count="0" hidden="1"/>
    <cacheHierarchy uniqueName="[Measures].[__XL_Count A]" caption="__XL_Count A" measure="1" displayFolder="" measureGroup="A"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6"/>
        </ext>
      </extLst>
    </cacheHierarchy>
    <cacheHierarchy uniqueName="[Measures].[Max of Credit_Score]" caption="Max of Credit_Score" measure="1" displayFolder="" measureGroup="accounts" count="0" hidden="1">
      <extLst>
        <ext xmlns:x15="http://schemas.microsoft.com/office/spreadsheetml/2010/11/main" uri="{B97F6D7D-B522-45F9-BDA1-12C45D357490}">
          <x15:cacheHierarchy aggregatedColumn="6"/>
        </ext>
      </extLst>
    </cacheHierarchy>
  </cacheHierarchies>
  <kpis count="0"/>
  <dimensions count="4">
    <dimension name="A" uniqueName="[A]" caption="A"/>
    <dimension name="accounts" uniqueName="[accounts]" caption="accounts"/>
    <dimension name="Customers" uniqueName="[Customers]" caption="Customers"/>
    <dimension measure="1" name="Measures" uniqueName="[Measures]" caption="Measures"/>
  </dimensions>
  <measureGroups count="3">
    <measureGroup name="A" caption="A"/>
    <measureGroup name="accounts" caption="accounts"/>
    <measureGroup name="Customers" caption="Customers"/>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906.930292013887" createdVersion="5" refreshedVersion="8" minRefreshableVersion="3" recordCount="0" supportSubquery="1" supportAdvancedDrill="1" xr:uid="{29E5B0C6-593C-49F9-A929-7BD400C1A4C7}">
  <cacheSource type="external" connectionId="5"/>
  <cacheFields count="4">
    <cacheField name="[accounts].[Loan_Status].[Loan_Status]" caption="Loan_Status" numFmtId="0" hierarchy="8" level="1">
      <sharedItems count="2">
        <s v="Approved"/>
        <s v="Rejected"/>
      </sharedItems>
    </cacheField>
    <cacheField name="[Measures].[AVERAGE BALANCE]" caption="AVERAGE BALANCE" numFmtId="0" hierarchy="32" level="32767"/>
    <cacheField name="[Measures].[TOTAL DEPOSIT BALANCE]" caption="TOTAL DEPOSIT BALANCE" numFmtId="0" hierarchy="26" level="32767"/>
    <cacheField name="[Customers].[Age_Group].[Age_Group]" caption="Age_Group" numFmtId="0" hierarchy="21" level="1">
      <sharedItems count="4">
        <s v="Boomers"/>
        <s v="Gen X"/>
        <s v="Gen Z"/>
        <s v="Millennials"/>
      </sharedItems>
    </cacheField>
  </cacheFields>
  <cacheHierarchies count="40">
    <cacheHierarchy uniqueName="[A].[Measures]" caption="Measures" attribute="1" defaultMemberUniqueName="[A].[Measures].[All]" allUniqueName="[A].[Measures].[All]" dimensionUniqueName="[A]" displayFolder="" count="0" memberValueDatatype="130" unbalanced="0"/>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2" memberValueDatatype="130" unbalanced="0">
      <fieldsUsage count="2">
        <fieldUsage x="-1"/>
        <fieldUsage x="0"/>
      </fieldsUsage>
    </cacheHierarchy>
    <cacheHierarchy uniqueName="[accounts].[Open_Date (Year)]" caption="Open_Date (Year)" attribute="1" defaultMemberUniqueName="[accounts].[Open_Date (Year)].[All]" allUniqueName="[accounts].[Open_Date (Year)].[All]" dimensionUniqueName="[accounts]" displayFolder="" count="0" memberValueDatatype="130" unbalanced="0"/>
    <cacheHierarchy uniqueName="[accounts].[Open_Date (Quarter)]" caption="Open_Date (Quarter)" attribute="1" defaultMemberUniqueName="[accounts].[Open_Date (Quarter)].[All]" allUniqueName="[accounts].[Open_Date (Quarter)].[All]" dimensionUniqueName="[accounts]" displayFolder="" count="0" memberValueDatatype="130" unbalanced="0"/>
    <cacheHierarchy uniqueName="[accounts].[Open_Date (Month)]" caption="Open_Date (Month)" attribute="1" defaultMemberUniqueName="[accounts].[Open_Date (Month)].[All]" allUniqueName="[accounts].[Open_Date (Month)].[All]" dimensionUniqueName="[account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5"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3"/>
      </fieldsUsage>
    </cacheHierarchy>
    <cacheHierarchy uniqueName="[Customers].[Income_Bracket]" caption="Income_Bracket" attribute="1" defaultMemberUniqueName="[Customers].[Income_Bracket].[All]" allUniqueName="[Customers].[Income_Bracket].[All]" dimensionUniqueName="[Customers]" displayFolder="" count="0" memberValueDatatype="130" unbalanced="0"/>
    <cacheHierarchy uniqueName="[Customers].[Tenure (Years)]" caption="Tenure (Years)" attribute="1" defaultMemberUniqueName="[Customers].[Tenure (Years)].[All]" allUniqueName="[Customers].[Tenure (Years)].[All]" dimensionUniqueName="[Customers]" displayFolder="" count="0" memberValueDatatype="5" unbalanced="0"/>
    <cacheHierarchy uniqueName="[Customers].[Tenure_Bracket]" caption="Tenure_Bracket" attribute="1" defaultMemberUniqueName="[Customers].[Tenure_Bracket].[All]" allUniqueName="[Customers].[Tenure_Bracket].[All]" dimensionUniqueName="[Customers]" displayFolder="" count="0" memberValueDatatype="130" unbalanced="0"/>
    <cacheHierarchy uniqueName="[accounts].[Open_Date (Month Index)]" caption="Open_Date (Month Index)" attribute="1" defaultMemberUniqueName="[accounts].[Open_Date (Month Index)].[All]" allUniqueName="[accounts].[Open_Date (Month Index)].[All]" dimensionUniqueName="[accounts]" displayFolder="" count="0" memberValueDatatype="20" unbalanced="0" hidden="1"/>
    <cacheHierarchy uniqueName="[Measures].[TOTAL DEPOSIT BALANCE]" caption="TOTAL DEPOSIT BALANCE" measure="1" displayFolder="" measureGroup="A" count="0" oneField="1">
      <fieldsUsage count="1">
        <fieldUsage x="2"/>
      </fieldsUsage>
    </cacheHierarchy>
    <cacheHierarchy uniqueName="[Measures].[TOTAL CUSTOMERS]" caption="TOTAL CUSTOMERS" measure="1" displayFolder="" measureGroup="A" count="0"/>
    <cacheHierarchy uniqueName="[Measures].[TOTAL APPROVED LOAN]" caption="TOTAL APPROVED LOAN" measure="1" displayFolder="" measureGroup="A" count="0"/>
    <cacheHierarchy uniqueName="[Measures].[PRODUCTS PER CUSTOMER]" caption="PRODUCTS PER CUSTOMER" measure="1" displayFolder="" measureGroup="A" count="0"/>
    <cacheHierarchy uniqueName="[Measures].[CUSTOMERS WITH &gt;1 PRODUCTS]" caption="CUSTOMERS WITH &gt;1 PRODUCTS" measure="1" displayFolder="" measureGroup="A" count="0"/>
    <cacheHierarchy uniqueName="[Measures].[AVERAGE CREDIT SCORE]" caption="AVERAGE CREDIT SCORE" measure="1" displayFolder="" measureGroup="A" count="0"/>
    <cacheHierarchy uniqueName="[Measures].[AVERAGE BALANCE]" caption="AVERAGE BALANCE" measure="1" displayFolder="" measureGroup="A" count="0" oneField="1">
      <fieldsUsage count="1">
        <fieldUsage x="1"/>
      </fieldsUsage>
    </cacheHierarchy>
    <cacheHierarchy uniqueName="[Measures].[__XL_Count accounts]" caption="__XL_Count accounts" measure="1" displayFolder="" measureGroup="accounts" count="0" hidden="1"/>
    <cacheHierarchy uniqueName="[Measures].[__XL_Count A]" caption="__XL_Count A" measure="1" displayFolder="" measureGroup="A"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6"/>
        </ext>
      </extLst>
    </cacheHierarchy>
    <cacheHierarchy uniqueName="[Measures].[Max of Credit_Score]" caption="Max of Credit_Score" measure="1" displayFolder="" measureGroup="accounts" count="0" hidden="1">
      <extLst>
        <ext xmlns:x15="http://schemas.microsoft.com/office/spreadsheetml/2010/11/main" uri="{B97F6D7D-B522-45F9-BDA1-12C45D357490}">
          <x15:cacheHierarchy aggregatedColumn="6"/>
        </ext>
      </extLst>
    </cacheHierarchy>
  </cacheHierarchies>
  <kpis count="0"/>
  <dimensions count="4">
    <dimension name="A" uniqueName="[A]" caption="A"/>
    <dimension name="accounts" uniqueName="[accounts]" caption="accounts"/>
    <dimension name="Customers" uniqueName="[Customers]" caption="Customers"/>
    <dimension measure="1" name="Measures" uniqueName="[Measures]" caption="Measures"/>
  </dimensions>
  <measureGroups count="3">
    <measureGroup name="A" caption="A"/>
    <measureGroup name="accounts" caption="accounts"/>
    <measureGroup name="Customers" caption="Customers"/>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906.564485532406" createdVersion="5" refreshedVersion="8" minRefreshableVersion="3" recordCount="0" supportSubquery="1" supportAdvancedDrill="1" xr:uid="{68F75E11-283D-4195-BCA2-B63961A326CA}">
  <cacheSource type="external" connectionId="5"/>
  <cacheFields count="4">
    <cacheField name="[accounts].[Loan_Status].[Loan_Status]" caption="Loan_Status" numFmtId="0" hierarchy="8" level="1">
      <sharedItems count="2">
        <s v="Approved"/>
        <s v="Rejected"/>
      </sharedItems>
    </cacheField>
    <cacheField name="[Customers].[Customer_Segment].[Customer_Segment]" caption="Customer_Segment" numFmtId="0" hierarchy="19" level="1">
      <sharedItems count="3">
        <s v="Corporate"/>
        <s v="Private"/>
        <s v="Retail"/>
      </sharedItems>
    </cacheField>
    <cacheField name="[Measures].[TOTAL DEPOSIT BALANCE]" caption="TOTAL DEPOSIT BALANCE" numFmtId="0" hierarchy="26" level="32767"/>
    <cacheField name="[Measures].[AVERAGE BALANCE]" caption="AVERAGE BALANCE" numFmtId="0" hierarchy="32" level="32767"/>
  </cacheFields>
  <cacheHierarchies count="40">
    <cacheHierarchy uniqueName="[A].[Measures]" caption="Measures" attribute="1" defaultMemberUniqueName="[A].[Measures].[All]" allUniqueName="[A].[Measures].[All]" dimensionUniqueName="[A]" displayFolder="" count="0" memberValueDatatype="130" unbalanced="0"/>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2" memberValueDatatype="130" unbalanced="0">
      <fieldsUsage count="2">
        <fieldUsage x="-1"/>
        <fieldUsage x="0"/>
      </fieldsUsage>
    </cacheHierarchy>
    <cacheHierarchy uniqueName="[accounts].[Open_Date (Year)]" caption="Open_Date (Year)" attribute="1" defaultMemberUniqueName="[accounts].[Open_Date (Year)].[All]" allUniqueName="[accounts].[Open_Date (Year)].[All]" dimensionUniqueName="[accounts]" displayFolder="" count="0" memberValueDatatype="130" unbalanced="0"/>
    <cacheHierarchy uniqueName="[accounts].[Open_Date (Quarter)]" caption="Open_Date (Quarter)" attribute="1" defaultMemberUniqueName="[accounts].[Open_Date (Quarter)].[All]" allUniqueName="[accounts].[Open_Date (Quarter)].[All]" dimensionUniqueName="[accounts]" displayFolder="" count="0" memberValueDatatype="130" unbalanced="0"/>
    <cacheHierarchy uniqueName="[accounts].[Open_Date (Month)]" caption="Open_Date (Month)" attribute="1" defaultMemberUniqueName="[accounts].[Open_Date (Month)].[All]" allUniqueName="[accounts].[Open_Date (Month)].[All]" dimensionUniqueName="[account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5"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1"/>
      </fieldsUsage>
    </cacheHierarchy>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Income_Bracket]" caption="Income_Bracket" attribute="1" defaultMemberUniqueName="[Customers].[Income_Bracket].[All]" allUniqueName="[Customers].[Income_Bracket].[All]" dimensionUniqueName="[Customers]" displayFolder="" count="0" memberValueDatatype="130" unbalanced="0"/>
    <cacheHierarchy uniqueName="[Customers].[Tenure (Years)]" caption="Tenure (Years)" attribute="1" defaultMemberUniqueName="[Customers].[Tenure (Years)].[All]" allUniqueName="[Customers].[Tenure (Years)].[All]" dimensionUniqueName="[Customers]" displayFolder="" count="0" memberValueDatatype="5" unbalanced="0"/>
    <cacheHierarchy uniqueName="[Customers].[Tenure_Bracket]" caption="Tenure_Bracket" attribute="1" defaultMemberUniqueName="[Customers].[Tenure_Bracket].[All]" allUniqueName="[Customers].[Tenure_Bracket].[All]" dimensionUniqueName="[Customers]" displayFolder="" count="0" memberValueDatatype="130" unbalanced="0"/>
    <cacheHierarchy uniqueName="[accounts].[Open_Date (Month Index)]" caption="Open_Date (Month Index)" attribute="1" defaultMemberUniqueName="[accounts].[Open_Date (Month Index)].[All]" allUniqueName="[accounts].[Open_Date (Month Index)].[All]" dimensionUniqueName="[accounts]" displayFolder="" count="0" memberValueDatatype="20" unbalanced="0" hidden="1"/>
    <cacheHierarchy uniqueName="[Measures].[TOTAL DEPOSIT BALANCE]" caption="TOTAL DEPOSIT BALANCE" measure="1" displayFolder="" measureGroup="A" count="0" oneField="1">
      <fieldsUsage count="1">
        <fieldUsage x="2"/>
      </fieldsUsage>
    </cacheHierarchy>
    <cacheHierarchy uniqueName="[Measures].[TOTAL CUSTOMERS]" caption="TOTAL CUSTOMERS" measure="1" displayFolder="" measureGroup="A" count="0"/>
    <cacheHierarchy uniqueName="[Measures].[TOTAL APPROVED LOAN]" caption="TOTAL APPROVED LOAN" measure="1" displayFolder="" measureGroup="A" count="0"/>
    <cacheHierarchy uniqueName="[Measures].[PRODUCTS PER CUSTOMER]" caption="PRODUCTS PER CUSTOMER" measure="1" displayFolder="" measureGroup="A" count="0"/>
    <cacheHierarchy uniqueName="[Measures].[CUSTOMERS WITH &gt;1 PRODUCTS]" caption="CUSTOMERS WITH &gt;1 PRODUCTS" measure="1" displayFolder="" measureGroup="A" count="0"/>
    <cacheHierarchy uniqueName="[Measures].[AVERAGE CREDIT SCORE]" caption="AVERAGE CREDIT SCORE" measure="1" displayFolder="" measureGroup="A" count="0"/>
    <cacheHierarchy uniqueName="[Measures].[AVERAGE BALANCE]" caption="AVERAGE BALANCE" measure="1" displayFolder="" measureGroup="A" count="0" oneField="1">
      <fieldsUsage count="1">
        <fieldUsage x="3"/>
      </fieldsUsage>
    </cacheHierarchy>
    <cacheHierarchy uniqueName="[Measures].[__XL_Count accounts]" caption="__XL_Count accounts" measure="1" displayFolder="" measureGroup="accounts" count="0" hidden="1"/>
    <cacheHierarchy uniqueName="[Measures].[__XL_Count A]" caption="__XL_Count A" measure="1" displayFolder="" measureGroup="A"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6"/>
        </ext>
      </extLst>
    </cacheHierarchy>
    <cacheHierarchy uniqueName="[Measures].[Max of Credit_Score]" caption="Max of Credit_Score" measure="1" displayFolder="" measureGroup="accounts" count="0" hidden="1">
      <extLst>
        <ext xmlns:x15="http://schemas.microsoft.com/office/spreadsheetml/2010/11/main" uri="{B97F6D7D-B522-45F9-BDA1-12C45D357490}">
          <x15:cacheHierarchy aggregatedColumn="6"/>
        </ext>
      </extLst>
    </cacheHierarchy>
  </cacheHierarchies>
  <kpis count="0"/>
  <dimensions count="4">
    <dimension name="A" uniqueName="[A]" caption="A"/>
    <dimension name="accounts" uniqueName="[accounts]" caption="accounts"/>
    <dimension name="Customers" uniqueName="[Customers]" caption="Customers"/>
    <dimension measure="1" name="Measures" uniqueName="[Measures]" caption="Measures"/>
  </dimensions>
  <measureGroups count="3">
    <measureGroup name="A" caption="A"/>
    <measureGroup name="accounts" caption="accounts"/>
    <measureGroup name="Customers" caption="Customers"/>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906.547627083331" createdVersion="5" refreshedVersion="8" minRefreshableVersion="3" recordCount="0" supportSubquery="1" supportAdvancedDrill="1" xr:uid="{04CE4512-856F-4469-8E20-1B70FFEE70A0}">
  <cacheSource type="external" connectionId="5"/>
  <cacheFields count="2">
    <cacheField name="[Measures].[TOTAL CUSTOMERS]" caption="TOTAL CUSTOMERS" numFmtId="0" hierarchy="27" level="32767"/>
    <cacheField name="[accounts].[Account_Type].[Account_Type]" caption="Account_Type" numFmtId="0" hierarchy="3" level="1">
      <sharedItems count="4">
        <s v="Checking"/>
        <s v="CreditCard"/>
        <s v="Loan"/>
        <s v="Savings"/>
      </sharedItems>
    </cacheField>
  </cacheFields>
  <cacheHierarchies count="40">
    <cacheHierarchy uniqueName="[A].[Measures]" caption="Measures" attribute="1" defaultMemberUniqueName="[A].[Measures].[All]" allUniqueName="[A].[Measures].[All]" dimensionUniqueName="[A]" displayFolder="" count="0" memberValueDatatype="130" unbalanced="0"/>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fieldsUsage count="2">
        <fieldUsage x="-1"/>
        <fieldUsage x="1"/>
      </fieldsUsage>
    </cacheHierarchy>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accounts].[Open_Date (Quarter)]" caption="Open_Date (Quarter)" attribute="1" defaultMemberUniqueName="[accounts].[Open_Date (Quarter)].[All]" allUniqueName="[accounts].[Open_Date (Quarter)].[All]" dimensionUniqueName="[accounts]" displayFolder="" count="0" memberValueDatatype="130" unbalanced="0"/>
    <cacheHierarchy uniqueName="[accounts].[Open_Date (Month)]" caption="Open_Date (Month)" attribute="1" defaultMemberUniqueName="[accounts].[Open_Date (Month)].[All]" allUniqueName="[accounts].[Open_Date (Month)].[All]" dimensionUniqueName="[account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5"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Income_Bracket]" caption="Income_Bracket" attribute="1" defaultMemberUniqueName="[Customers].[Income_Bracket].[All]" allUniqueName="[Customers].[Income_Bracket].[All]" dimensionUniqueName="[Customers]" displayFolder="" count="0" memberValueDatatype="130" unbalanced="0"/>
    <cacheHierarchy uniqueName="[Customers].[Tenure (Years)]" caption="Tenure (Years)" attribute="1" defaultMemberUniqueName="[Customers].[Tenure (Years)].[All]" allUniqueName="[Customers].[Tenure (Years)].[All]" dimensionUniqueName="[Customers]" displayFolder="" count="0" memberValueDatatype="5" unbalanced="0"/>
    <cacheHierarchy uniqueName="[Customers].[Tenure_Bracket]" caption="Tenure_Bracket" attribute="1" defaultMemberUniqueName="[Customers].[Tenure_Bracket].[All]" allUniqueName="[Customers].[Tenure_Bracket].[All]" dimensionUniqueName="[Customers]" displayFolder="" count="0" memberValueDatatype="130" unbalanced="0"/>
    <cacheHierarchy uniqueName="[accounts].[Open_Date (Month Index)]" caption="Open_Date (Month Index)" attribute="1" defaultMemberUniqueName="[accounts].[Open_Date (Month Index)].[All]" allUniqueName="[accounts].[Open_Date (Month Index)].[All]" dimensionUniqueName="[accounts]" displayFolder="" count="0" memberValueDatatype="20" unbalanced="0" hidden="1"/>
    <cacheHierarchy uniqueName="[Measures].[TOTAL DEPOSIT BALANCE]" caption="TOTAL DEPOSIT BALANCE" measure="1" displayFolder="" measureGroup="A" count="0"/>
    <cacheHierarchy uniqueName="[Measures].[TOTAL CUSTOMERS]" caption="TOTAL CUSTOMERS" measure="1" displayFolder="" measureGroup="A" count="0" oneField="1">
      <fieldsUsage count="1">
        <fieldUsage x="0"/>
      </fieldsUsage>
    </cacheHierarchy>
    <cacheHierarchy uniqueName="[Measures].[TOTAL APPROVED LOAN]" caption="TOTAL APPROVED LOAN" measure="1" displayFolder="" measureGroup="A" count="0"/>
    <cacheHierarchy uniqueName="[Measures].[PRODUCTS PER CUSTOMER]" caption="PRODUCTS PER CUSTOMER" measure="1" displayFolder="" measureGroup="A" count="0"/>
    <cacheHierarchy uniqueName="[Measures].[CUSTOMERS WITH &gt;1 PRODUCTS]" caption="CUSTOMERS WITH &gt;1 PRODUCTS" measure="1" displayFolder="" measureGroup="A" count="0"/>
    <cacheHierarchy uniqueName="[Measures].[AVERAGE CREDIT SCORE]" caption="AVERAGE CREDIT SCORE" measure="1" displayFolder="" measureGroup="A" count="0"/>
    <cacheHierarchy uniqueName="[Measures].[AVERAGE BALANCE]" caption="AVERAGE BALANCE" measure="1" displayFolder="" measureGroup="A" count="0"/>
    <cacheHierarchy uniqueName="[Measures].[__XL_Count accounts]" caption="__XL_Count accounts" measure="1" displayFolder="" measureGroup="accounts" count="0" hidden="1"/>
    <cacheHierarchy uniqueName="[Measures].[__XL_Count A]" caption="__XL_Count A" measure="1" displayFolder="" measureGroup="A"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6"/>
        </ext>
      </extLst>
    </cacheHierarchy>
    <cacheHierarchy uniqueName="[Measures].[Max of Credit_Score]" caption="Max of Credit_Score" measure="1" displayFolder="" measureGroup="accounts" count="0" hidden="1">
      <extLst>
        <ext xmlns:x15="http://schemas.microsoft.com/office/spreadsheetml/2010/11/main" uri="{B97F6D7D-B522-45F9-BDA1-12C45D357490}">
          <x15:cacheHierarchy aggregatedColumn="6"/>
        </ext>
      </extLst>
    </cacheHierarchy>
  </cacheHierarchies>
  <kpis count="0"/>
  <dimensions count="4">
    <dimension name="A" uniqueName="[A]" caption="A"/>
    <dimension name="accounts" uniqueName="[accounts]" caption="accounts"/>
    <dimension name="Customers" uniqueName="[Customers]" caption="Customers"/>
    <dimension measure="1" name="Measures" uniqueName="[Measures]" caption="Measures"/>
  </dimensions>
  <measureGroups count="3">
    <measureGroup name="A" caption="A"/>
    <measureGroup name="accounts" caption="accounts"/>
    <measureGroup name="Customers" caption="Customers"/>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906.547633217589" createdVersion="5" refreshedVersion="8" minRefreshableVersion="3" recordCount="0" supportSubquery="1" supportAdvancedDrill="1" xr:uid="{E183FB55-3265-423A-B18F-C60D88AA573B}">
  <cacheSource type="external" connectionId="5"/>
  <cacheFields count="2">
    <cacheField name="[Measures].[AVERAGE CREDIT SCORE]" caption="AVERAGE CREDIT SCORE" numFmtId="0" hierarchy="31" level="32767"/>
    <cacheField name="[accounts].[Loan_Status].[Loan_Status]" caption="Loan_Status" numFmtId="0" hierarchy="8" level="1">
      <sharedItems count="2">
        <s v="Approved"/>
        <s v="Rejected"/>
      </sharedItems>
    </cacheField>
  </cacheFields>
  <cacheHierarchies count="40">
    <cacheHierarchy uniqueName="[A].[Measures]" caption="Measures" attribute="1" defaultMemberUniqueName="[A].[Measures].[All]" allUniqueName="[A].[Measures].[All]" dimensionUniqueName="[A]" displayFolder="" count="0" memberValueDatatype="130" unbalanced="0"/>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2" memberValueDatatype="130" unbalanced="0">
      <fieldsUsage count="2">
        <fieldUsage x="-1"/>
        <fieldUsage x="1"/>
      </fieldsUsage>
    </cacheHierarchy>
    <cacheHierarchy uniqueName="[accounts].[Open_Date (Year)]" caption="Open_Date (Year)" attribute="1" defaultMemberUniqueName="[accounts].[Open_Date (Year)].[All]" allUniqueName="[accounts].[Open_Date (Year)].[All]" dimensionUniqueName="[accounts]" displayFolder="" count="0" memberValueDatatype="130" unbalanced="0"/>
    <cacheHierarchy uniqueName="[accounts].[Open_Date (Quarter)]" caption="Open_Date (Quarter)" attribute="1" defaultMemberUniqueName="[accounts].[Open_Date (Quarter)].[All]" allUniqueName="[accounts].[Open_Date (Quarter)].[All]" dimensionUniqueName="[accounts]" displayFolder="" count="0" memberValueDatatype="130" unbalanced="0"/>
    <cacheHierarchy uniqueName="[accounts].[Open_Date (Month)]" caption="Open_Date (Month)" attribute="1" defaultMemberUniqueName="[accounts].[Open_Date (Month)].[All]" allUniqueName="[accounts].[Open_Date (Month)].[All]" dimensionUniqueName="[account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5"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Income_Bracket]" caption="Income_Bracket" attribute="1" defaultMemberUniqueName="[Customers].[Income_Bracket].[All]" allUniqueName="[Customers].[Income_Bracket].[All]" dimensionUniqueName="[Customers]" displayFolder="" count="0" memberValueDatatype="130" unbalanced="0"/>
    <cacheHierarchy uniqueName="[Customers].[Tenure (Years)]" caption="Tenure (Years)" attribute="1" defaultMemberUniqueName="[Customers].[Tenure (Years)].[All]" allUniqueName="[Customers].[Tenure (Years)].[All]" dimensionUniqueName="[Customers]" displayFolder="" count="0" memberValueDatatype="5" unbalanced="0"/>
    <cacheHierarchy uniqueName="[Customers].[Tenure_Bracket]" caption="Tenure_Bracket" attribute="1" defaultMemberUniqueName="[Customers].[Tenure_Bracket].[All]" allUniqueName="[Customers].[Tenure_Bracket].[All]" dimensionUniqueName="[Customers]" displayFolder="" count="0" memberValueDatatype="130" unbalanced="0"/>
    <cacheHierarchy uniqueName="[accounts].[Open_Date (Month Index)]" caption="Open_Date (Month Index)" attribute="1" defaultMemberUniqueName="[accounts].[Open_Date (Month Index)].[All]" allUniqueName="[accounts].[Open_Date (Month Index)].[All]" dimensionUniqueName="[accounts]" displayFolder="" count="0" memberValueDatatype="20" unbalanced="0" hidden="1"/>
    <cacheHierarchy uniqueName="[Measures].[TOTAL DEPOSIT BALANCE]" caption="TOTAL DEPOSIT BALANCE" measure="1" displayFolder="" measureGroup="A" count="0"/>
    <cacheHierarchy uniqueName="[Measures].[TOTAL CUSTOMERS]" caption="TOTAL CUSTOMERS" measure="1" displayFolder="" measureGroup="A" count="0"/>
    <cacheHierarchy uniqueName="[Measures].[TOTAL APPROVED LOAN]" caption="TOTAL APPROVED LOAN" measure="1" displayFolder="" measureGroup="A" count="0"/>
    <cacheHierarchy uniqueName="[Measures].[PRODUCTS PER CUSTOMER]" caption="PRODUCTS PER CUSTOMER" measure="1" displayFolder="" measureGroup="A" count="0"/>
    <cacheHierarchy uniqueName="[Measures].[CUSTOMERS WITH &gt;1 PRODUCTS]" caption="CUSTOMERS WITH &gt;1 PRODUCTS" measure="1" displayFolder="" measureGroup="A" count="0"/>
    <cacheHierarchy uniqueName="[Measures].[AVERAGE CREDIT SCORE]" caption="AVERAGE CREDIT SCORE" measure="1" displayFolder="" measureGroup="A" count="0" oneField="1">
      <fieldsUsage count="1">
        <fieldUsage x="0"/>
      </fieldsUsage>
    </cacheHierarchy>
    <cacheHierarchy uniqueName="[Measures].[AVERAGE BALANCE]" caption="AVERAGE BALANCE" measure="1" displayFolder="" measureGroup="A" count="0"/>
    <cacheHierarchy uniqueName="[Measures].[__XL_Count accounts]" caption="__XL_Count accounts" measure="1" displayFolder="" measureGroup="accounts" count="0" hidden="1"/>
    <cacheHierarchy uniqueName="[Measures].[__XL_Count A]" caption="__XL_Count A" measure="1" displayFolder="" measureGroup="A"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6"/>
        </ext>
      </extLst>
    </cacheHierarchy>
    <cacheHierarchy uniqueName="[Measures].[Max of Credit_Score]" caption="Max of Credit_Score" measure="1" displayFolder="" measureGroup="accounts" count="0" hidden="1">
      <extLst>
        <ext xmlns:x15="http://schemas.microsoft.com/office/spreadsheetml/2010/11/main" uri="{B97F6D7D-B522-45F9-BDA1-12C45D357490}">
          <x15:cacheHierarchy aggregatedColumn="6"/>
        </ext>
      </extLst>
    </cacheHierarchy>
  </cacheHierarchies>
  <kpis count="0"/>
  <dimensions count="4">
    <dimension name="A" uniqueName="[A]" caption="A"/>
    <dimension name="accounts" uniqueName="[accounts]" caption="accounts"/>
    <dimension name="Customers" uniqueName="[Customers]" caption="Customers"/>
    <dimension measure="1" name="Measures" uniqueName="[Measures]" caption="Measures"/>
  </dimensions>
  <measureGroups count="3">
    <measureGroup name="A" caption="A"/>
    <measureGroup name="accounts" caption="accounts"/>
    <measureGroup name="Customers" caption="Customers"/>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906.547618634257" createdVersion="5" refreshedVersion="8" minRefreshableVersion="3" recordCount="0" supportSubquery="1" supportAdvancedDrill="1" xr:uid="{BBB99CB3-A015-4798-B3EA-CF38C6E690AD}">
  <cacheSource type="external" connectionId="5"/>
  <cacheFields count="7">
    <cacheField name="[Measures].[TOTAL DEPOSIT BALANCE]" caption="TOTAL DEPOSIT BALANCE" numFmtId="0" hierarchy="26" level="32767"/>
    <cacheField name="[Measures].[TOTAL CUSTOMERS]" caption="TOTAL CUSTOMERS" numFmtId="0" hierarchy="27" level="32767"/>
    <cacheField name="[Measures].[TOTAL APPROVED LOAN]" caption="TOTAL APPROVED LOAN" numFmtId="0" hierarchy="28" level="32767"/>
    <cacheField name="[Measures].[PRODUCTS PER CUSTOMER]" caption="PRODUCTS PER CUSTOMER" numFmtId="0" hierarchy="29" level="32767"/>
    <cacheField name="[Measures].[CUSTOMERS WITH &gt;1 PRODUCTS]" caption="CUSTOMERS WITH &gt;1 PRODUCTS" numFmtId="0" hierarchy="30" level="32767"/>
    <cacheField name="[Measures].[AVERAGE CREDIT SCORE]" caption="AVERAGE CREDIT SCORE" numFmtId="0" hierarchy="31" level="32767"/>
    <cacheField name="[Measures].[AVERAGE BALANCE]" caption="AVERAGE BALANCE" numFmtId="0" hierarchy="32" level="32767"/>
  </cacheFields>
  <cacheHierarchies count="40">
    <cacheHierarchy uniqueName="[A].[Measures]" caption="Measures" attribute="1" defaultMemberUniqueName="[A].[Measures].[All]" allUniqueName="[A].[Measures].[All]" dimensionUniqueName="[A]" displayFolder="" count="0" memberValueDatatype="130" unbalanced="0"/>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accounts].[Open_Date (Quarter)]" caption="Open_Date (Quarter)" attribute="1" defaultMemberUniqueName="[accounts].[Open_Date (Quarter)].[All]" allUniqueName="[accounts].[Open_Date (Quarter)].[All]" dimensionUniqueName="[accounts]" displayFolder="" count="0" memberValueDatatype="130" unbalanced="0"/>
    <cacheHierarchy uniqueName="[accounts].[Open_Date (Month)]" caption="Open_Date (Month)" attribute="1" defaultMemberUniqueName="[accounts].[Open_Date (Month)].[All]" allUniqueName="[accounts].[Open_Date (Month)].[All]" dimensionUniqueName="[account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5"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Income_Bracket]" caption="Income_Bracket" attribute="1" defaultMemberUniqueName="[Customers].[Income_Bracket].[All]" allUniqueName="[Customers].[Income_Bracket].[All]" dimensionUniqueName="[Customers]" displayFolder="" count="0" memberValueDatatype="130" unbalanced="0"/>
    <cacheHierarchy uniqueName="[Customers].[Tenure (Years)]" caption="Tenure (Years)" attribute="1" defaultMemberUniqueName="[Customers].[Tenure (Years)].[All]" allUniqueName="[Customers].[Tenure (Years)].[All]" dimensionUniqueName="[Customers]" displayFolder="" count="0" memberValueDatatype="5" unbalanced="0"/>
    <cacheHierarchy uniqueName="[Customers].[Tenure_Bracket]" caption="Tenure_Bracket" attribute="1" defaultMemberUniqueName="[Customers].[Tenure_Bracket].[All]" allUniqueName="[Customers].[Tenure_Bracket].[All]" dimensionUniqueName="[Customers]" displayFolder="" count="0" memberValueDatatype="130" unbalanced="0"/>
    <cacheHierarchy uniqueName="[accounts].[Open_Date (Month Index)]" caption="Open_Date (Month Index)" attribute="1" defaultMemberUniqueName="[accounts].[Open_Date (Month Index)].[All]" allUniqueName="[accounts].[Open_Date (Month Index)].[All]" dimensionUniqueName="[accounts]" displayFolder="" count="0" memberValueDatatype="20" unbalanced="0" hidden="1"/>
    <cacheHierarchy uniqueName="[Measures].[TOTAL DEPOSIT BALANCE]" caption="TOTAL DEPOSIT BALANCE" measure="1" displayFolder="" measureGroup="A" count="0" oneField="1">
      <fieldsUsage count="1">
        <fieldUsage x="0"/>
      </fieldsUsage>
    </cacheHierarchy>
    <cacheHierarchy uniqueName="[Measures].[TOTAL CUSTOMERS]" caption="TOTAL CUSTOMERS" measure="1" displayFolder="" measureGroup="A" count="0" oneField="1">
      <fieldsUsage count="1">
        <fieldUsage x="1"/>
      </fieldsUsage>
    </cacheHierarchy>
    <cacheHierarchy uniqueName="[Measures].[TOTAL APPROVED LOAN]" caption="TOTAL APPROVED LOAN" measure="1" displayFolder="" measureGroup="A" count="0" oneField="1">
      <fieldsUsage count="1">
        <fieldUsage x="2"/>
      </fieldsUsage>
    </cacheHierarchy>
    <cacheHierarchy uniqueName="[Measures].[PRODUCTS PER CUSTOMER]" caption="PRODUCTS PER CUSTOMER" measure="1" displayFolder="" measureGroup="A" count="0" oneField="1">
      <fieldsUsage count="1">
        <fieldUsage x="3"/>
      </fieldsUsage>
    </cacheHierarchy>
    <cacheHierarchy uniqueName="[Measures].[CUSTOMERS WITH &gt;1 PRODUCTS]" caption="CUSTOMERS WITH &gt;1 PRODUCTS" measure="1" displayFolder="" measureGroup="A" count="0" oneField="1">
      <fieldsUsage count="1">
        <fieldUsage x="4"/>
      </fieldsUsage>
    </cacheHierarchy>
    <cacheHierarchy uniqueName="[Measures].[AVERAGE CREDIT SCORE]" caption="AVERAGE CREDIT SCORE" measure="1" displayFolder="" measureGroup="A" count="0" oneField="1">
      <fieldsUsage count="1">
        <fieldUsage x="5"/>
      </fieldsUsage>
    </cacheHierarchy>
    <cacheHierarchy uniqueName="[Measures].[AVERAGE BALANCE]" caption="AVERAGE BALANCE" measure="1" displayFolder="" measureGroup="A" count="0" oneField="1">
      <fieldsUsage count="1">
        <fieldUsage x="6"/>
      </fieldsUsage>
    </cacheHierarchy>
    <cacheHierarchy uniqueName="[Measures].[__XL_Count accounts]" caption="__XL_Count accounts" measure="1" displayFolder="" measureGroup="accounts" count="0" hidden="1"/>
    <cacheHierarchy uniqueName="[Measures].[__XL_Count A]" caption="__XL_Count A" measure="1" displayFolder="" measureGroup="A"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6"/>
        </ext>
      </extLst>
    </cacheHierarchy>
    <cacheHierarchy uniqueName="[Measures].[Max of Credit_Score]" caption="Max of Credit_Score" measure="1" displayFolder="" measureGroup="accounts" count="0" hidden="1">
      <extLst>
        <ext xmlns:x15="http://schemas.microsoft.com/office/spreadsheetml/2010/11/main" uri="{B97F6D7D-B522-45F9-BDA1-12C45D357490}">
          <x15:cacheHierarchy aggregatedColumn="6"/>
        </ext>
      </extLst>
    </cacheHierarchy>
  </cacheHierarchies>
  <kpis count="0"/>
  <dimensions count="4">
    <dimension name="A" uniqueName="[A]" caption="A"/>
    <dimension name="accounts" uniqueName="[accounts]" caption="accounts"/>
    <dimension name="Customers" uniqueName="[Customers]" caption="Customers"/>
    <dimension measure="1" name="Measures" uniqueName="[Measures]" caption="Measures"/>
  </dimensions>
  <measureGroups count="3">
    <measureGroup name="A" caption="A"/>
    <measureGroup name="accounts" caption="accounts"/>
    <measureGroup name="Customers" caption="Customers"/>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907.494815972219" createdVersion="5" refreshedVersion="8" minRefreshableVersion="3" recordCount="0" supportSubquery="1" supportAdvancedDrill="1" xr:uid="{C8BF4FDB-4E0E-4BD7-92BA-8F759E4F7DFB}">
  <cacheSource type="external" connectionId="5"/>
  <cacheFields count="3">
    <cacheField name="[accounts].[CustomerID].[CustomerID]" caption="CustomerID" numFmtId="0" hierarchy="2" level="1">
      <sharedItems count="5">
        <s v="CUST0004"/>
        <s v="CUST0075"/>
        <s v="CUST0107"/>
        <s v="CUST0125"/>
        <s v="CUST0382"/>
      </sharedItems>
    </cacheField>
    <cacheField name="[Customers].[Occupation].[Occupation]" caption="Occupation" numFmtId="0" hierarchy="17" level="1">
      <sharedItems count="7">
        <s v="Banker"/>
        <s v="Doctor"/>
        <s v="Engineer"/>
        <s v="Retired"/>
        <s v="Student"/>
        <s v="Teacher"/>
        <s v="Trader"/>
      </sharedItems>
    </cacheField>
    <cacheField name="[Measures].[TOTAL DEPOSIT BALANCE]" caption="TOTAL DEPOSIT BALANCE" numFmtId="0" hierarchy="26" level="32767"/>
  </cacheFields>
  <cacheHierarchies count="40">
    <cacheHierarchy uniqueName="[A].[Measures]" caption="Measures" attribute="1" defaultMemberUniqueName="[A].[Measures].[All]" allUniqueName="[A].[Measures].[All]" dimensionUniqueName="[A]" displayFolder="" count="0" memberValueDatatype="130" unbalanced="0"/>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2" memberValueDatatype="130" unbalanced="0">
      <fieldsUsage count="2">
        <fieldUsage x="-1"/>
        <fieldUsage x="0"/>
      </fieldsUsage>
    </cacheHierarchy>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accounts].[Open_Date (Quarter)]" caption="Open_Date (Quarter)" attribute="1" defaultMemberUniqueName="[accounts].[Open_Date (Quarter)].[All]" allUniqueName="[accounts].[Open_Date (Quarter)].[All]" dimensionUniqueName="[accounts]" displayFolder="" count="0" memberValueDatatype="130" unbalanced="0"/>
    <cacheHierarchy uniqueName="[accounts].[Open_Date (Month)]" caption="Open_Date (Month)" attribute="1" defaultMemberUniqueName="[accounts].[Open_Date (Month)].[All]" allUniqueName="[accounts].[Open_Date (Month)].[All]" dimensionUniqueName="[account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2" memberValueDatatype="130" unbalanced="0">
      <fieldsUsage count="2">
        <fieldUsage x="-1"/>
        <fieldUsage x="1"/>
      </fieldsUsage>
    </cacheHierarchy>
    <cacheHierarchy uniqueName="[Customers].[Income]" caption="Income" attribute="1" defaultMemberUniqueName="[Customers].[Income].[All]" allUniqueName="[Customers].[Income].[All]" dimensionUniqueName="[Customers]" displayFolder="" count="0" memberValueDatatype="5"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Income_Bracket]" caption="Income_Bracket" attribute="1" defaultMemberUniqueName="[Customers].[Income_Bracket].[All]" allUniqueName="[Customers].[Income_Bracket].[All]" dimensionUniqueName="[Customers]" displayFolder="" count="0" memberValueDatatype="130" unbalanced="0"/>
    <cacheHierarchy uniqueName="[Customers].[Tenure (Years)]" caption="Tenure (Years)" attribute="1" defaultMemberUniqueName="[Customers].[Tenure (Years)].[All]" allUniqueName="[Customers].[Tenure (Years)].[All]" dimensionUniqueName="[Customers]" displayFolder="" count="0" memberValueDatatype="5" unbalanced="0"/>
    <cacheHierarchy uniqueName="[Customers].[Tenure_Bracket]" caption="Tenure_Bracket" attribute="1" defaultMemberUniqueName="[Customers].[Tenure_Bracket].[All]" allUniqueName="[Customers].[Tenure_Bracket].[All]" dimensionUniqueName="[Customers]" displayFolder="" count="0" memberValueDatatype="130" unbalanced="0"/>
    <cacheHierarchy uniqueName="[accounts].[Open_Date (Month Index)]" caption="Open_Date (Month Index)" attribute="1" defaultMemberUniqueName="[accounts].[Open_Date (Month Index)].[All]" allUniqueName="[accounts].[Open_Date (Month Index)].[All]" dimensionUniqueName="[accounts]" displayFolder="" count="0" memberValueDatatype="20" unbalanced="0" hidden="1"/>
    <cacheHierarchy uniqueName="[Measures].[TOTAL DEPOSIT BALANCE]" caption="TOTAL DEPOSIT BALANCE" measure="1" displayFolder="" measureGroup="A" count="0" oneField="1">
      <fieldsUsage count="1">
        <fieldUsage x="2"/>
      </fieldsUsage>
    </cacheHierarchy>
    <cacheHierarchy uniqueName="[Measures].[TOTAL CUSTOMERS]" caption="TOTAL CUSTOMERS" measure="1" displayFolder="" measureGroup="A" count="0"/>
    <cacheHierarchy uniqueName="[Measures].[TOTAL APPROVED LOAN]" caption="TOTAL APPROVED LOAN" measure="1" displayFolder="" measureGroup="A" count="0"/>
    <cacheHierarchy uniqueName="[Measures].[PRODUCTS PER CUSTOMER]" caption="PRODUCTS PER CUSTOMER" measure="1" displayFolder="" measureGroup="A" count="0"/>
    <cacheHierarchy uniqueName="[Measures].[CUSTOMERS WITH &gt;1 PRODUCTS]" caption="CUSTOMERS WITH &gt;1 PRODUCTS" measure="1" displayFolder="" measureGroup="A" count="0"/>
    <cacheHierarchy uniqueName="[Measures].[AVERAGE CREDIT SCORE]" caption="AVERAGE CREDIT SCORE" measure="1" displayFolder="" measureGroup="A" count="0"/>
    <cacheHierarchy uniqueName="[Measures].[AVERAGE BALANCE]" caption="AVERAGE BALANCE" measure="1" displayFolder="" measureGroup="A" count="0"/>
    <cacheHierarchy uniqueName="[Measures].[__XL_Count accounts]" caption="__XL_Count accounts" measure="1" displayFolder="" measureGroup="accounts" count="0" hidden="1"/>
    <cacheHierarchy uniqueName="[Measures].[__XL_Count A]" caption="__XL_Count A" measure="1" displayFolder="" measureGroup="A"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6"/>
        </ext>
      </extLst>
    </cacheHierarchy>
    <cacheHierarchy uniqueName="[Measures].[Max of Credit_Score]" caption="Max of Credit_Score" measure="1" displayFolder="" measureGroup="accounts" count="0" hidden="1">
      <extLst>
        <ext xmlns:x15="http://schemas.microsoft.com/office/spreadsheetml/2010/11/main" uri="{B97F6D7D-B522-45F9-BDA1-12C45D357490}">
          <x15:cacheHierarchy aggregatedColumn="6"/>
        </ext>
      </extLst>
    </cacheHierarchy>
  </cacheHierarchies>
  <kpis count="0"/>
  <dimensions count="4">
    <dimension name="A" uniqueName="[A]" caption="A"/>
    <dimension name="accounts" uniqueName="[accounts]" caption="accounts"/>
    <dimension name="Customers" uniqueName="[Customers]" caption="Customers"/>
    <dimension measure="1" name="Measures" uniqueName="[Measures]" caption="Measures"/>
  </dimensions>
  <measureGroups count="3">
    <measureGroup name="A" caption="A"/>
    <measureGroup name="accounts" caption="accounts"/>
    <measureGroup name="Customers" caption="Customers"/>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RO BOOK 430 G6" refreshedDate="45907.521716782408" createdVersion="5" refreshedVersion="8" minRefreshableVersion="3" recordCount="0" supportSubquery="1" supportAdvancedDrill="1" xr:uid="{510044BB-E5E5-4245-91BA-84178D2AB06A}">
  <cacheSource type="external" connectionId="5"/>
  <cacheFields count="2">
    <cacheField name="[accounts].[CustomerID].[CustomerID]" caption="CustomerID" numFmtId="0" hierarchy="2" level="1">
      <sharedItems count="8">
        <s v="CUST0035"/>
        <s v="CUST0047"/>
        <s v="CUST0431"/>
        <s v="CUST0432"/>
        <s v="CUST0476"/>
        <s v="CUST0004" u="1"/>
        <s v="CUST0075" u="1"/>
        <s v="CUST0382" u="1"/>
      </sharedItems>
    </cacheField>
    <cacheField name="[Measures].[TOTAL DEPOSIT BALANCE]" caption="TOTAL DEPOSIT BALANCE" numFmtId="0" hierarchy="26" level="32767"/>
  </cacheFields>
  <cacheHierarchies count="40">
    <cacheHierarchy uniqueName="[A].[Measures]" caption="Measures" attribute="1" defaultMemberUniqueName="[A].[Measures].[All]" allUniqueName="[A].[Measures].[All]" dimensionUniqueName="[A]" displayFolder="" count="0" memberValueDatatype="130" unbalanced="0"/>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2" memberValueDatatype="130" unbalanced="0">
      <fieldsUsage count="2">
        <fieldUsage x="-1"/>
        <fieldUsage x="0"/>
      </fieldsUsage>
    </cacheHierarchy>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accounts].[Open_Date (Year)]" caption="Open_Date (Year)" attribute="1" defaultMemberUniqueName="[accounts].[Open_Date (Year)].[All]" allUniqueName="[accounts].[Open_Date (Year)].[All]" dimensionUniqueName="[accounts]" displayFolder="" count="0" memberValueDatatype="130" unbalanced="0"/>
    <cacheHierarchy uniqueName="[accounts].[Open_Date (Quarter)]" caption="Open_Date (Quarter)" attribute="1" defaultMemberUniqueName="[accounts].[Open_Date (Quarter)].[All]" allUniqueName="[accounts].[Open_Date (Quarter)].[All]" dimensionUniqueName="[accounts]" displayFolder="" count="0" memberValueDatatype="130" unbalanced="0"/>
    <cacheHierarchy uniqueName="[accounts].[Open_Date (Month)]" caption="Open_Date (Month)" attribute="1" defaultMemberUniqueName="[accounts].[Open_Date (Month)].[All]" allUniqueName="[accounts].[Open_Date (Month)].[All]" dimensionUniqueName="[account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5"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Income_Bracket]" caption="Income_Bracket" attribute="1" defaultMemberUniqueName="[Customers].[Income_Bracket].[All]" allUniqueName="[Customers].[Income_Bracket].[All]" dimensionUniqueName="[Customers]" displayFolder="" count="0" memberValueDatatype="130" unbalanced="0"/>
    <cacheHierarchy uniqueName="[Customers].[Tenure (Years)]" caption="Tenure (Years)" attribute="1" defaultMemberUniqueName="[Customers].[Tenure (Years)].[All]" allUniqueName="[Customers].[Tenure (Years)].[All]" dimensionUniqueName="[Customers]" displayFolder="" count="0" memberValueDatatype="5" unbalanced="0"/>
    <cacheHierarchy uniqueName="[Customers].[Tenure_Bracket]" caption="Tenure_Bracket" attribute="1" defaultMemberUniqueName="[Customers].[Tenure_Bracket].[All]" allUniqueName="[Customers].[Tenure_Bracket].[All]" dimensionUniqueName="[Customers]" displayFolder="" count="0" memberValueDatatype="130" unbalanced="0"/>
    <cacheHierarchy uniqueName="[accounts].[Open_Date (Month Index)]" caption="Open_Date (Month Index)" attribute="1" defaultMemberUniqueName="[accounts].[Open_Date (Month Index)].[All]" allUniqueName="[accounts].[Open_Date (Month Index)].[All]" dimensionUniqueName="[accounts]" displayFolder="" count="0" memberValueDatatype="20" unbalanced="0" hidden="1"/>
    <cacheHierarchy uniqueName="[Measures].[TOTAL DEPOSIT BALANCE]" caption="TOTAL DEPOSIT BALANCE" measure="1" displayFolder="" measureGroup="A" count="0" oneField="1">
      <fieldsUsage count="1">
        <fieldUsage x="1"/>
      </fieldsUsage>
    </cacheHierarchy>
    <cacheHierarchy uniqueName="[Measures].[TOTAL CUSTOMERS]" caption="TOTAL CUSTOMERS" measure="1" displayFolder="" measureGroup="A" count="0"/>
    <cacheHierarchy uniqueName="[Measures].[TOTAL APPROVED LOAN]" caption="TOTAL APPROVED LOAN" measure="1" displayFolder="" measureGroup="A" count="0"/>
    <cacheHierarchy uniqueName="[Measures].[PRODUCTS PER CUSTOMER]" caption="PRODUCTS PER CUSTOMER" measure="1" displayFolder="" measureGroup="A" count="0"/>
    <cacheHierarchy uniqueName="[Measures].[CUSTOMERS WITH &gt;1 PRODUCTS]" caption="CUSTOMERS WITH &gt;1 PRODUCTS" measure="1" displayFolder="" measureGroup="A" count="0"/>
    <cacheHierarchy uniqueName="[Measures].[AVERAGE CREDIT SCORE]" caption="AVERAGE CREDIT SCORE" measure="1" displayFolder="" measureGroup="A" count="0"/>
    <cacheHierarchy uniqueName="[Measures].[AVERAGE BALANCE]" caption="AVERAGE BALANCE" measure="1" displayFolder="" measureGroup="A" count="0"/>
    <cacheHierarchy uniqueName="[Measures].[__XL_Count accounts]" caption="__XL_Count accounts" measure="1" displayFolder="" measureGroup="accounts" count="0" hidden="1"/>
    <cacheHierarchy uniqueName="[Measures].[__XL_Count A]" caption="__XL_Count A" measure="1" displayFolder="" measureGroup="A"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Loan_Amount]" caption="Sum of Loan_Amount" measure="1" displayFolder="" measureGroup="accounts"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accounts" count="0" hidden="1">
      <extLst>
        <ext xmlns:x15="http://schemas.microsoft.com/office/spreadsheetml/2010/11/main" uri="{B97F6D7D-B522-45F9-BDA1-12C45D357490}">
          <x15:cacheHierarchy aggregatedColumn="6"/>
        </ext>
      </extLst>
    </cacheHierarchy>
    <cacheHierarchy uniqueName="[Measures].[Max of Credit_Score]" caption="Max of Credit_Score" measure="1" displayFolder="" measureGroup="accounts" count="0" hidden="1">
      <extLst>
        <ext xmlns:x15="http://schemas.microsoft.com/office/spreadsheetml/2010/11/main" uri="{B97F6D7D-B522-45F9-BDA1-12C45D357490}">
          <x15:cacheHierarchy aggregatedColumn="6"/>
        </ext>
      </extLst>
    </cacheHierarchy>
  </cacheHierarchies>
  <kpis count="0"/>
  <dimensions count="4">
    <dimension name="A" uniqueName="[A]" caption="A"/>
    <dimension name="accounts" uniqueName="[accounts]" caption="accounts"/>
    <dimension name="Customers" uniqueName="[Customers]" caption="Customers"/>
    <dimension measure="1" name="Measures" uniqueName="[Measures]" caption="Measures"/>
  </dimensions>
  <measureGroups count="3">
    <measureGroup name="A" caption="A"/>
    <measureGroup name="accounts" caption="accounts"/>
    <measureGroup name="Customers" caption="Customers"/>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6AFFDF-02E6-47C5-AF67-181694754407}" name="PivotTable10" cacheId="269" applyNumberFormats="0" applyBorderFormats="0" applyFontFormats="0" applyPatternFormats="0" applyAlignmentFormats="0" applyWidthHeightFormats="1" dataCaption="Values" tag="f297cdd9-96f6-456a-a137-171992d586b0" updatedVersion="8" minRefreshableVersion="3" useAutoFormatting="1" subtotalHiddenItems="1" rowGrandTotals="0" colGrandTotals="0" itemPrintTitles="1" createdVersion="5" indent="0" outline="1" outlineData="1" multipleFieldFilters="0" chartFormat="23">
  <location ref="G35:H42" firstHeaderRow="1" firstDataRow="1" firstDataCol="1"/>
  <pivotFields count="3">
    <pivotField allDrilled="1" subtotalTop="0" showAll="0" measureFilter="1" defaultSubtotal="0" defaultAttributeDrillState="1">
      <items count="5">
        <item x="0"/>
        <item x="2"/>
        <item x="3"/>
        <item x="1"/>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7">
    <i>
      <x/>
    </i>
    <i>
      <x v="1"/>
    </i>
    <i>
      <x v="2"/>
    </i>
    <i>
      <x v="3"/>
    </i>
    <i>
      <x v="4"/>
    </i>
    <i>
      <x v="5"/>
    </i>
    <i>
      <x v="6"/>
    </i>
  </rowItems>
  <colItems count="1">
    <i/>
  </colItems>
  <dataFields count="1">
    <dataField fld="2" subtotal="count" baseField="0" baseItem="0"/>
  </dataFields>
  <chartFormats count="1">
    <chartFormat chart="19" format="5"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ax of Credit_Score"/>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accounts]"/>
        <x15:activeTabTopLevelEntity name="[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7337CA-0398-4D1B-8327-02401C3D45EE}" name="PivotTable9" cacheId="284" applyNumberFormats="0" applyBorderFormats="0" applyFontFormats="0" applyPatternFormats="0" applyAlignmentFormats="0" applyWidthHeightFormats="1" dataCaption="Values" tag="f297cdd9-96f6-456a-a137-171992d586b0" updatedVersion="8" minRefreshableVersion="3" useAutoFormatting="1" subtotalHiddenItems="1" rowGrandTotals="0" colGrandTotals="0" itemPrintTitles="1" createdVersion="5" indent="0" outline="1" outlineData="1" multipleFieldFilters="0" chartFormat="12">
  <location ref="D35:E40" firstHeaderRow="1" firstDataRow="1" firstDataCol="1"/>
  <pivotFields count="2">
    <pivotField axis="axisRow" allDrilled="1" subtotalTop="0" showAll="0" measureFilter="1"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i>
    <i>
      <x v="2"/>
    </i>
    <i>
      <x v="3"/>
    </i>
    <i>
      <x v="4"/>
    </i>
  </rowItems>
  <colItems count="1">
    <i/>
  </colItems>
  <dataFields count="1">
    <dataField fld="1" subtotal="count" baseField="0" baseItem="0"/>
  </dataFields>
  <chartFormats count="4">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0" count="1" selected="0">
            <x v="7"/>
          </reference>
        </references>
      </pivotArea>
    </chartFormat>
    <chartFormat chart="7" format="5">
      <pivotArea type="data" outline="0" fieldPosition="0">
        <references count="2">
          <reference field="4294967294" count="1" selected="0">
            <x v="0"/>
          </reference>
          <reference field="0" count="1" selected="0">
            <x v="6"/>
          </reference>
        </references>
      </pivotArea>
    </chartFormat>
    <chartFormat chart="7" format="6">
      <pivotArea type="data" outline="0" fieldPosition="0">
        <references count="2">
          <reference field="4294967294" count="1" selected="0">
            <x v="0"/>
          </reference>
          <reference field="0" count="1" selected="0">
            <x v="5"/>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ax of Credit_Score"/>
  </pivotHierarchies>
  <pivotTableStyleInfo name="PivotStyleLight16" showRowHeaders="1" showColHeaders="1" showRowStripes="0" showColStripes="0" showLastColumn="1"/>
  <filters count="1">
    <filter fld="0" type="count" id="2" iMeasureHier="26">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accounts]"/>
        <x15:activeTabTopLevelEntity name="[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AF25B1-CB8D-449A-AA5D-493CF8CD8476}" name="PivotTable8" cacheId="233" applyNumberFormats="0" applyBorderFormats="0" applyFontFormats="0" applyPatternFormats="0" applyAlignmentFormats="0" applyWidthHeightFormats="1" dataCaption="Values" tag="f297cdd9-96f6-456a-a137-171992d586b0" updatedVersion="8" minRefreshableVersion="3" useAutoFormatting="1" rowGrandTotals="0" colGrandTotals="0" itemPrintTitles="1" createdVersion="5" indent="0" outline="1" outlineData="1" multipleFieldFilters="0" chartFormat="10">
  <location ref="A33:B44" firstHeaderRow="1" firstDataRow="1" firstDataCol="1"/>
  <pivotFields count="2">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s>
  <rowFields count="1">
    <field x="0"/>
  </rowFields>
  <rowItems count="11">
    <i>
      <x/>
    </i>
    <i>
      <x v="1"/>
    </i>
    <i>
      <x v="2"/>
    </i>
    <i>
      <x v="3"/>
    </i>
    <i>
      <x v="4"/>
    </i>
    <i>
      <x v="5"/>
    </i>
    <i>
      <x v="6"/>
    </i>
    <i>
      <x v="7"/>
    </i>
    <i>
      <x v="8"/>
    </i>
    <i>
      <x v="9"/>
    </i>
    <i>
      <x v="10"/>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accounts]"/>
        <x15:activeTabTopLevelEntity name="[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E0379D-2A1B-48DD-AEEA-E96B1B2C6B01}" name="PivotTable5" cacheId="234" applyNumberFormats="0" applyBorderFormats="0" applyFontFormats="0" applyPatternFormats="0" applyAlignmentFormats="0" applyWidthHeightFormats="1" dataCaption="Values" tag="e46c5e5a-ed96-4121-879d-f25a82df9df6" updatedVersion="8" minRefreshableVersion="3" useAutoFormatting="1" rowGrandTotals="0" colGrandTotals="0" itemPrintTitles="1" createdVersion="5" indent="0" outline="1" outlineData="1" multipleFieldFilters="0" chartFormat="23">
  <location ref="C20:D22" firstHeaderRow="1" firstDataRow="1" firstDataCol="1"/>
  <pivotFields count="2">
    <pivotField dataField="1" subtotalTop="0" showAll="0" defaultSubtotal="0"/>
    <pivotField axis="axisRow" allDrilled="1" subtotalTop="0" showAll="0" dataSourceSort="1" defaultSubtotal="0" defaultAttributeDrillState="1">
      <items count="2">
        <item s="1" x="0"/>
        <item s="1" x="1"/>
      </items>
    </pivotField>
  </pivotFields>
  <rowFields count="1">
    <field x="1"/>
  </rowFields>
  <rowItems count="2">
    <i>
      <x/>
    </i>
    <i>
      <x v="1"/>
    </i>
  </rowItems>
  <colItems count="1">
    <i/>
  </colItems>
  <dataFields count="1">
    <dataField fld="0" subtotal="count" baseField="0" baseItem="0" numFmtId="1"/>
  </dataFields>
  <formats count="1">
    <format dxfId="1">
      <pivotArea outline="0" collapsedLevelsAreSubtotals="1" fieldPosition="0"/>
    </format>
  </formats>
  <chartFormats count="6">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accoun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5F3921-1CD7-452B-B91D-A48AA84646CB}" name="PivotTable4" cacheId="235" applyNumberFormats="0" applyBorderFormats="0" applyFontFormats="0" applyPatternFormats="0" applyAlignmentFormats="0" applyWidthHeightFormats="1" dataCaption="Values" tag="f297cdd9-96f6-456a-a137-171992d586b0" updatedVersion="8" minRefreshableVersion="3" useAutoFormatting="1" rowGrandTotals="0" colGrandTotals="0" itemPrintTitles="1" createdVersion="5" indent="0" outline="1" outlineData="1" multipleFieldFilters="0">
  <location ref="D7:D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accoun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42ECA6-6233-4233-AC59-906E0637C674}" name="PivotTable3" cacheId="236" applyNumberFormats="0" applyBorderFormats="0" applyFontFormats="0" applyPatternFormats="0" applyAlignmentFormats="0" applyWidthHeightFormats="1" dataCaption="Values" tag="6a1de5c4-127e-4708-899f-be3e8bf2562d" updatedVersion="8" minRefreshableVersion="3" useAutoFormatting="1" rowGrandTotals="0" colGrandTotals="0" itemPrintTitles="1" createdVersion="5" indent="0" outline="1" outlineData="1" multipleFieldFilters="0">
  <location ref="A15:B16"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dataField fld="1"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accoun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926DBB-0613-4E6E-98AA-087E56A3CAF9}" name="PivotTable15" cacheId="237" applyNumberFormats="0" applyBorderFormats="0" applyFontFormats="0" applyPatternFormats="0" applyAlignmentFormats="0" applyWidthHeightFormats="1" dataCaption="Values" tag="f50936a1-90c4-4aab-8fb7-2fef49f19f95" updatedVersion="8" minRefreshableVersion="3" useAutoFormatting="1" rowGrandTotals="0" colGrandTotals="0" itemPrintTitles="1" createdVersion="5" indent="0" outline="1" outlineData="1" multipleFieldFilters="0" chartFormat="9">
  <location ref="E26:G30" firstHeaderRow="0" firstDataRow="1" firstDataCol="1"/>
  <pivotFields count="4">
    <pivotField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x v="3"/>
    </i>
  </rowItems>
  <colFields count="1">
    <field x="-2"/>
  </colFields>
  <colItems count="2">
    <i>
      <x/>
    </i>
    <i i="1">
      <x v="1"/>
    </i>
  </colItems>
  <dataFields count="2">
    <dataField fld="2" subtotal="count" baseField="0" baseItem="0"/>
    <dataField fld="1" subtotal="count" baseField="0" baseItem="0" numFmtId="44"/>
  </dataFields>
  <formats count="1">
    <format dxfId="2">
      <pivotArea outline="0" collapsedLevelsAreSubtotals="1" fieldPosition="0"/>
    </format>
  </formats>
  <chartFormats count="2">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accoun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972D67-561A-48C3-B5DD-72E5EB2A385F}" name="PivotTable7" cacheId="238" applyNumberFormats="0" applyBorderFormats="0" applyFontFormats="0" applyPatternFormats="0" applyAlignmentFormats="0" applyWidthHeightFormats="1" dataCaption="Values" tag="001fda67-5b97-4934-9467-853ff9d0cb20" updatedVersion="8" minRefreshableVersion="3" useAutoFormatting="1" subtotalHiddenItems="1" rowGrandTotals="0" colGrandTotals="0" itemPrintTitles="1" createdVersion="5" indent="0" outline="1" outlineData="1" multipleFieldFilters="0" chartFormat="9">
  <location ref="A26:C29" firstHeaderRow="0" firstDataRow="1" firstDataCol="1"/>
  <pivotFields count="4">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1"/>
  </rowFields>
  <rowItems count="3">
    <i>
      <x/>
    </i>
    <i>
      <x v="1"/>
    </i>
    <i>
      <x v="2"/>
    </i>
  </rowItems>
  <colFields count="1">
    <field x="-2"/>
  </colFields>
  <colItems count="2">
    <i>
      <x/>
    </i>
    <i i="1">
      <x v="1"/>
    </i>
  </colItems>
  <dataFields count="2">
    <dataField fld="2" subtotal="count" baseField="0" baseItem="0"/>
    <dataField fld="3" subtotal="count" baseField="0" baseItem="0"/>
  </dataFields>
  <formats count="1">
    <format dxfId="0">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
        <x15:activeTabTopLevelEntity name="[accoun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30C8F5-4010-45C4-855A-E5D178B11834}" name="PivotTable2" cacheId="239" applyNumberFormats="0" applyBorderFormats="0" applyFontFormats="0" applyPatternFormats="0" applyAlignmentFormats="0" applyWidthHeightFormats="1" dataCaption="Values" tag="f80c8113-8eb5-407b-8edb-0140d536b951" updatedVersion="8" minRefreshableVersion="3" useAutoFormatting="1" rowGrandTotals="0" colGrandTotals="0" itemPrintTitles="1" createdVersion="5" indent="0" outline="1" outlineData="1" multipleFieldFilters="0" chartFormat="12">
  <location ref="A7:B11"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4">
    <i>
      <x/>
    </i>
    <i>
      <x v="1"/>
    </i>
    <i>
      <x v="2"/>
    </i>
    <i>
      <x v="3"/>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accoun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7E1D37-02E3-4003-B560-7A57DA6B03B0}" name="PivotTable6" cacheId="240" applyNumberFormats="0" applyBorderFormats="0" applyFontFormats="0" applyPatternFormats="0" applyAlignmentFormats="0" applyWidthHeightFormats="1" dataCaption="Values" tag="b0ea8e65-c278-4711-8024-c4d6a6ed7973" updatedVersion="8" minRefreshableVersion="3" useAutoFormatting="1" rowGrandTotals="0" colGrandTotals="0" itemPrintTitles="1" createdVersion="5" indent="0" outline="1" outlineData="1" multipleFieldFilters="0">
  <location ref="A20:A21" firstHeaderRow="1" firstDataRow="1" firstDataCol="0"/>
  <pivotFields count="2">
    <pivotField dataField="1" subtotalTop="0" showAll="0" defaultSubtotal="0"/>
    <pivotField allDrilled="1" subtotalTop="0" showAll="0" dataSourceSort="1" defaultSubtotal="0" defaultAttributeDrillState="1">
      <items count="2">
        <item s="1" x="0"/>
        <item s="1" x="1"/>
      </items>
    </pivotField>
  </pivotFields>
  <rowItems count="1">
    <i/>
  </rowItems>
  <colItems count="1">
    <i/>
  </colItems>
  <dataFields count="1">
    <dataField fld="0" subtotal="count" baseField="0" baseItem="0" numFmtId="1"/>
  </dataFields>
  <formats count="1">
    <format dxfId="3">
      <pivotArea outline="0" collapsedLevelsAreSubtotals="1"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accoun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E28026-A79C-4704-941D-3888075D719B}" name="PivotTable1" cacheId="241" applyNumberFormats="0" applyBorderFormats="0" applyFontFormats="0" applyPatternFormats="0" applyAlignmentFormats="0" applyWidthHeightFormats="1" dataCaption="Values" tag="66d21c72-c615-47d0-a689-5005dde8e73f" updatedVersion="8" minRefreshableVersion="3" useAutoFormatting="1" itemPrintTitles="1" createdVersion="5" indent="0" outline="1" outlineData="1" multipleFieldFilters="0">
  <location ref="C3:I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numFmtId="1"/>
    <dataField fld="6" subtotal="count" baseField="0" baseItem="0"/>
  </dataFields>
  <formats count="1">
    <format dxfId="4">
      <pivotArea outline="0" collapsedLevelsAreSubtotals="1" fieldPosition="0">
        <references count="1">
          <reference field="4294967294" count="1" selected="0">
            <x v="5"/>
          </reference>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accoun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9201-A25A-4AE6-B707-06C9AA6A78FA}">
  <dimension ref="A1:I44"/>
  <sheetViews>
    <sheetView topLeftCell="C24" zoomScale="104" zoomScaleNormal="85" workbookViewId="0">
      <selection activeCell="D35" sqref="D35"/>
    </sheetView>
  </sheetViews>
  <sheetFormatPr defaultRowHeight="14.5" x14ac:dyDescent="0.35"/>
  <cols>
    <col min="1" max="1" width="26.54296875" bestFit="1" customWidth="1"/>
    <col min="2" max="3" width="22.6328125" bestFit="1" customWidth="1"/>
    <col min="4" max="4" width="28.54296875" bestFit="1" customWidth="1"/>
    <col min="5" max="5" width="22.1796875" bestFit="1" customWidth="1"/>
    <col min="6" max="6" width="24.54296875" bestFit="1" customWidth="1"/>
    <col min="7" max="7" width="32.1796875" bestFit="1" customWidth="1"/>
    <col min="8" max="8" width="22.6328125" bestFit="1" customWidth="1"/>
    <col min="9" max="9" width="17.1796875" bestFit="1" customWidth="1"/>
    <col min="10" max="10" width="10.90625" bestFit="1" customWidth="1"/>
    <col min="11" max="13" width="9.90625" bestFit="1" customWidth="1"/>
    <col min="14" max="18" width="10.90625" bestFit="1" customWidth="1"/>
    <col min="19" max="20" width="9.90625" bestFit="1" customWidth="1"/>
    <col min="21" max="23" width="10.90625" bestFit="1" customWidth="1"/>
    <col min="24" max="25" width="8.81640625" bestFit="1" customWidth="1"/>
    <col min="26" max="28" width="9.90625" bestFit="1" customWidth="1"/>
    <col min="29" max="30" width="8.81640625" bestFit="1" customWidth="1"/>
    <col min="31" max="35" width="9.90625" bestFit="1" customWidth="1"/>
    <col min="36" max="36" width="8.81640625" bestFit="1" customWidth="1"/>
    <col min="37" max="38" width="9.90625" bestFit="1" customWidth="1"/>
    <col min="39" max="39" width="8.81640625" bestFit="1" customWidth="1"/>
    <col min="40" max="43" width="9.90625" bestFit="1" customWidth="1"/>
    <col min="44" max="47" width="8.81640625" bestFit="1" customWidth="1"/>
    <col min="48" max="50" width="9.90625" bestFit="1" customWidth="1"/>
    <col min="51" max="51" width="8.81640625" bestFit="1" customWidth="1"/>
    <col min="52" max="54" width="9.90625" bestFit="1" customWidth="1"/>
    <col min="55" max="56" width="8.81640625" bestFit="1" customWidth="1"/>
    <col min="57" max="59" width="9.90625" bestFit="1" customWidth="1"/>
    <col min="60" max="61" width="8.81640625" bestFit="1" customWidth="1"/>
    <col min="62" max="64" width="9.90625" bestFit="1" customWidth="1"/>
    <col min="65" max="65" width="8.81640625" bestFit="1" customWidth="1"/>
    <col min="66" max="71" width="9.90625" bestFit="1" customWidth="1"/>
    <col min="72" max="83" width="10.90625" bestFit="1" customWidth="1"/>
    <col min="84" max="86" width="9.90625" bestFit="1" customWidth="1"/>
    <col min="87" max="91" width="10.90625" bestFit="1" customWidth="1"/>
    <col min="92" max="93" width="8.81640625" bestFit="1" customWidth="1"/>
    <col min="94" max="94" width="9.90625" bestFit="1" customWidth="1"/>
    <col min="95" max="96" width="8.81640625" bestFit="1" customWidth="1"/>
    <col min="97" max="99" width="9.90625" bestFit="1" customWidth="1"/>
    <col min="100" max="101" width="8.81640625" bestFit="1" customWidth="1"/>
    <col min="102" max="105" width="9.90625" bestFit="1" customWidth="1"/>
    <col min="106" max="106" width="8.81640625" bestFit="1" customWidth="1"/>
    <col min="107" max="110" width="9.90625" bestFit="1" customWidth="1"/>
    <col min="111" max="112" width="8.81640625" bestFit="1" customWidth="1"/>
    <col min="113" max="113" width="9.90625" bestFit="1" customWidth="1"/>
    <col min="114" max="115" width="8.81640625" bestFit="1" customWidth="1"/>
    <col min="116" max="118" width="9.90625" bestFit="1" customWidth="1"/>
    <col min="119" max="122" width="8.81640625" bestFit="1" customWidth="1"/>
    <col min="123" max="124" width="9.90625" bestFit="1" customWidth="1"/>
    <col min="125" max="127" width="8.81640625" bestFit="1" customWidth="1"/>
    <col min="128" max="130" width="9.90625" bestFit="1" customWidth="1"/>
    <col min="131" max="134" width="10.90625" bestFit="1" customWidth="1"/>
    <col min="135" max="136" width="9.90625" bestFit="1" customWidth="1"/>
    <col min="137" max="142" width="10.90625" bestFit="1" customWidth="1"/>
    <col min="143" max="146" width="9.90625" bestFit="1" customWidth="1"/>
    <col min="147" max="151" width="10.90625" bestFit="1" customWidth="1"/>
    <col min="152" max="153" width="8.81640625" bestFit="1" customWidth="1"/>
    <col min="154" max="157" width="9.90625" bestFit="1" customWidth="1"/>
    <col min="158" max="158" width="8.81640625" bestFit="1" customWidth="1"/>
    <col min="159" max="161" width="9.90625" bestFit="1" customWidth="1"/>
    <col min="162" max="163" width="8.81640625" bestFit="1" customWidth="1"/>
    <col min="164" max="174" width="9.90625" bestFit="1" customWidth="1"/>
    <col min="175" max="178" width="8.81640625" bestFit="1" customWidth="1"/>
    <col min="179" max="182" width="9.90625" bestFit="1" customWidth="1"/>
    <col min="183" max="183" width="8.81640625" bestFit="1" customWidth="1"/>
    <col min="184" max="189" width="9.90625" bestFit="1" customWidth="1"/>
    <col min="190" max="191" width="8.81640625" bestFit="1" customWidth="1"/>
    <col min="192" max="193" width="9.90625" bestFit="1" customWidth="1"/>
    <col min="194" max="196" width="8.81640625" bestFit="1" customWidth="1"/>
    <col min="197" max="205" width="9.90625" bestFit="1" customWidth="1"/>
    <col min="206" max="209" width="10.90625" bestFit="1" customWidth="1"/>
    <col min="210" max="211" width="9.90625" bestFit="1" customWidth="1"/>
    <col min="212" max="218" width="10.90625" bestFit="1" customWidth="1"/>
    <col min="219" max="219" width="9.90625" bestFit="1" customWidth="1"/>
    <col min="220" max="226" width="10.90625" bestFit="1" customWidth="1"/>
    <col min="227" max="227" width="8.81640625" bestFit="1" customWidth="1"/>
    <col min="228" max="232" width="9.90625" bestFit="1" customWidth="1"/>
    <col min="233" max="235" width="8.81640625" bestFit="1" customWidth="1"/>
    <col min="236" max="238" width="9.90625" bestFit="1" customWidth="1"/>
    <col min="239" max="240" width="8.81640625" bestFit="1" customWidth="1"/>
    <col min="241" max="245" width="9.90625" bestFit="1" customWidth="1"/>
    <col min="246" max="248" width="8.81640625" bestFit="1" customWidth="1"/>
    <col min="249" max="253" width="9.90625" bestFit="1" customWidth="1"/>
    <col min="254" max="256" width="8.81640625" bestFit="1" customWidth="1"/>
    <col min="257" max="265" width="9.90625" bestFit="1" customWidth="1"/>
    <col min="266" max="268" width="8.81640625" bestFit="1" customWidth="1"/>
    <col min="269" max="279" width="9.90625" bestFit="1" customWidth="1"/>
    <col min="280" max="282" width="10.90625" bestFit="1" customWidth="1"/>
    <col min="283" max="283" width="9.90625" bestFit="1" customWidth="1"/>
    <col min="284" max="287" width="10.90625" bestFit="1" customWidth="1"/>
    <col min="288" max="291" width="9.90625" bestFit="1" customWidth="1"/>
    <col min="292" max="295" width="10.90625" bestFit="1" customWidth="1"/>
    <col min="296" max="297" width="8.81640625" bestFit="1" customWidth="1"/>
    <col min="298" max="303" width="9.90625" bestFit="1" customWidth="1"/>
    <col min="304" max="305" width="8.81640625" bestFit="1" customWidth="1"/>
    <col min="306" max="309" width="9.90625" bestFit="1" customWidth="1"/>
    <col min="310" max="310" width="8.81640625" bestFit="1" customWidth="1"/>
    <col min="311" max="316" width="9.90625" bestFit="1" customWidth="1"/>
    <col min="317" max="317" width="8.81640625" bestFit="1" customWidth="1"/>
    <col min="318" max="321" width="9.90625" bestFit="1" customWidth="1"/>
    <col min="322" max="323" width="8.81640625" bestFit="1" customWidth="1"/>
    <col min="324" max="329" width="9.90625" bestFit="1" customWidth="1"/>
    <col min="330" max="331" width="8.81640625" bestFit="1" customWidth="1"/>
    <col min="332" max="337" width="9.90625" bestFit="1" customWidth="1"/>
    <col min="338" max="339" width="8.81640625" bestFit="1" customWidth="1"/>
    <col min="340" max="342" width="9.90625" bestFit="1" customWidth="1"/>
    <col min="343" max="348" width="8.81640625" bestFit="1" customWidth="1"/>
    <col min="349" max="354" width="9.90625" bestFit="1" customWidth="1"/>
    <col min="355" max="363" width="10.90625" bestFit="1" customWidth="1"/>
    <col min="364" max="366" width="9.90625" bestFit="1" customWidth="1"/>
    <col min="367" max="375" width="10.90625" bestFit="1" customWidth="1"/>
    <col min="376" max="378" width="8.81640625" bestFit="1" customWidth="1"/>
    <col min="379" max="380" width="9.90625" bestFit="1" customWidth="1"/>
    <col min="381" max="381" width="8.81640625" bestFit="1" customWidth="1"/>
    <col min="382" max="384" width="9.90625" bestFit="1" customWidth="1"/>
    <col min="385" max="387" width="8.81640625" bestFit="1" customWidth="1"/>
    <col min="388" max="391" width="9.90625" bestFit="1" customWidth="1"/>
    <col min="392" max="393" width="8.81640625" bestFit="1" customWidth="1"/>
    <col min="394" max="398" width="9.90625" bestFit="1" customWidth="1"/>
    <col min="399" max="400" width="8.81640625" bestFit="1" customWidth="1"/>
    <col min="401" max="403" width="9.90625" bestFit="1" customWidth="1"/>
    <col min="404" max="405" width="8.81640625" bestFit="1" customWidth="1"/>
    <col min="406" max="407" width="9.90625" bestFit="1" customWidth="1"/>
    <col min="408" max="409" width="8.81640625" bestFit="1" customWidth="1"/>
    <col min="410" max="413" width="9.90625" bestFit="1" customWidth="1"/>
    <col min="414" max="414" width="8.81640625" bestFit="1" customWidth="1"/>
    <col min="415" max="421" width="9.90625" bestFit="1" customWidth="1"/>
    <col min="422" max="423" width="8.81640625" bestFit="1" customWidth="1"/>
    <col min="424" max="427" width="9.90625" bestFit="1" customWidth="1"/>
    <col min="428" max="430" width="10.90625" bestFit="1" customWidth="1"/>
    <col min="431" max="431" width="9.90625" bestFit="1" customWidth="1"/>
    <col min="432" max="437" width="10.90625" bestFit="1" customWidth="1"/>
    <col min="438" max="440" width="8.81640625" bestFit="1" customWidth="1"/>
    <col min="441" max="447" width="9.90625" bestFit="1" customWidth="1"/>
    <col min="448" max="448" width="8.81640625" bestFit="1" customWidth="1"/>
    <col min="449" max="450" width="9.90625" bestFit="1" customWidth="1"/>
    <col min="451" max="451" width="8.81640625" bestFit="1" customWidth="1"/>
    <col min="452" max="457" width="9.90625" bestFit="1" customWidth="1"/>
    <col min="458" max="460" width="8.81640625" bestFit="1" customWidth="1"/>
    <col min="461" max="463" width="9.90625" bestFit="1" customWidth="1"/>
    <col min="464" max="465" width="8.81640625" bestFit="1" customWidth="1"/>
    <col min="466" max="467" width="9.90625" bestFit="1" customWidth="1"/>
    <col min="468" max="470" width="8.81640625" bestFit="1" customWidth="1"/>
    <col min="471" max="474" width="9.90625" bestFit="1" customWidth="1"/>
    <col min="475" max="475" width="8.81640625" bestFit="1" customWidth="1"/>
    <col min="476" max="478" width="9.90625" bestFit="1" customWidth="1"/>
    <col min="479" max="480" width="8.81640625" bestFit="1" customWidth="1"/>
    <col min="481" max="490" width="9.90625" bestFit="1" customWidth="1"/>
    <col min="491" max="492" width="10.90625" bestFit="1" customWidth="1"/>
    <col min="493" max="493" width="9.90625" bestFit="1" customWidth="1"/>
    <col min="494" max="496" width="10.90625" bestFit="1" customWidth="1"/>
    <col min="497" max="497" width="9.90625" bestFit="1" customWidth="1"/>
    <col min="498" max="501" width="10.90625" bestFit="1" customWidth="1"/>
    <col min="502" max="503" width="8.81640625" bestFit="1" customWidth="1"/>
    <col min="504" max="504" width="9.90625" bestFit="1" customWidth="1"/>
    <col min="505" max="507" width="8.81640625" bestFit="1" customWidth="1"/>
    <col min="508" max="508" width="9.90625" bestFit="1" customWidth="1"/>
    <col min="509" max="510" width="8.81640625" bestFit="1" customWidth="1"/>
    <col min="511" max="514" width="9.90625" bestFit="1" customWidth="1"/>
    <col min="515" max="517" width="8.81640625" bestFit="1" customWidth="1"/>
    <col min="518" max="521" width="9.90625" bestFit="1" customWidth="1"/>
    <col min="522" max="522" width="8.81640625" bestFit="1" customWidth="1"/>
    <col min="523" max="526" width="9.90625" bestFit="1" customWidth="1"/>
    <col min="527" max="529" width="8.81640625" bestFit="1" customWidth="1"/>
    <col min="530" max="532" width="9.90625" bestFit="1" customWidth="1"/>
    <col min="533" max="534" width="8.81640625" bestFit="1" customWidth="1"/>
    <col min="535" max="542" width="9.90625" bestFit="1" customWidth="1"/>
    <col min="543" max="545" width="8.81640625" bestFit="1" customWidth="1"/>
    <col min="546" max="552" width="9.90625" bestFit="1" customWidth="1"/>
    <col min="553" max="554" width="8.81640625" bestFit="1" customWidth="1"/>
    <col min="555" max="568" width="9.90625" bestFit="1" customWidth="1"/>
    <col min="569" max="572" width="10.90625" bestFit="1" customWidth="1"/>
    <col min="573" max="573" width="9.90625" bestFit="1" customWidth="1"/>
    <col min="574" max="576" width="10.90625" bestFit="1" customWidth="1"/>
    <col min="577" max="578" width="9.90625" bestFit="1" customWidth="1"/>
    <col min="579" max="581" width="10.90625" bestFit="1" customWidth="1"/>
    <col min="582" max="583" width="8.81640625" bestFit="1" customWidth="1"/>
    <col min="584" max="594" width="9.90625" bestFit="1" customWidth="1"/>
    <col min="595" max="595" width="8.81640625" bestFit="1" customWidth="1"/>
    <col min="596" max="603" width="9.90625" bestFit="1" customWidth="1"/>
    <col min="604" max="605" width="8.81640625" bestFit="1" customWidth="1"/>
    <col min="606" max="610" width="9.90625" bestFit="1" customWidth="1"/>
    <col min="611" max="614" width="8.81640625" bestFit="1" customWidth="1"/>
    <col min="615" max="620" width="9.90625" bestFit="1" customWidth="1"/>
    <col min="621" max="621" width="8.81640625" bestFit="1" customWidth="1"/>
    <col min="622" max="627" width="9.90625" bestFit="1" customWidth="1"/>
    <col min="628" max="629" width="8.81640625" bestFit="1" customWidth="1"/>
    <col min="630" max="634" width="9.90625" bestFit="1" customWidth="1"/>
    <col min="635" max="635" width="8.81640625" bestFit="1" customWidth="1"/>
    <col min="636" max="640" width="9.90625" bestFit="1" customWidth="1"/>
    <col min="641" max="646" width="10.90625" bestFit="1" customWidth="1"/>
    <col min="647" max="649" width="9.90625" bestFit="1" customWidth="1"/>
    <col min="650" max="654" width="10.90625" bestFit="1" customWidth="1"/>
    <col min="655" max="655" width="9.90625" bestFit="1" customWidth="1"/>
    <col min="656" max="663" width="10.90625" bestFit="1" customWidth="1"/>
    <col min="664" max="664" width="8.81640625" bestFit="1" customWidth="1"/>
    <col min="665" max="668" width="9.90625" bestFit="1" customWidth="1"/>
    <col min="669" max="669" width="8.81640625" bestFit="1" customWidth="1"/>
    <col min="670" max="672" width="9.90625" bestFit="1" customWidth="1"/>
    <col min="673" max="674" width="8.81640625" bestFit="1" customWidth="1"/>
    <col min="675" max="679" width="9.90625" bestFit="1" customWidth="1"/>
    <col min="680" max="680" width="8.81640625" bestFit="1" customWidth="1"/>
    <col min="681" max="682" width="9.90625" bestFit="1" customWidth="1"/>
    <col min="683" max="686" width="8.81640625" bestFit="1" customWidth="1"/>
    <col min="687" max="696" width="9.90625" bestFit="1" customWidth="1"/>
    <col min="697" max="701" width="8.81640625" bestFit="1" customWidth="1"/>
    <col min="702" max="711" width="9.90625" bestFit="1" customWidth="1"/>
  </cols>
  <sheetData>
    <row r="1" spans="1:9" ht="23.5" x14ac:dyDescent="0.55000000000000004">
      <c r="D1" s="5" t="s">
        <v>0</v>
      </c>
    </row>
    <row r="3" spans="1:9" x14ac:dyDescent="0.35">
      <c r="C3" t="s">
        <v>1</v>
      </c>
      <c r="D3" t="s">
        <v>2</v>
      </c>
      <c r="E3" t="s">
        <v>3</v>
      </c>
      <c r="F3" t="s">
        <v>9</v>
      </c>
      <c r="G3" t="s">
        <v>10</v>
      </c>
      <c r="H3" t="s">
        <v>13</v>
      </c>
      <c r="I3" t="s">
        <v>17</v>
      </c>
    </row>
    <row r="4" spans="1:9" x14ac:dyDescent="0.35">
      <c r="C4" s="1">
        <v>212341134</v>
      </c>
      <c r="D4" s="9">
        <v>391</v>
      </c>
      <c r="E4" s="1">
        <v>3677399</v>
      </c>
      <c r="F4" s="9">
        <v>4</v>
      </c>
      <c r="G4" s="9">
        <v>195</v>
      </c>
      <c r="H4" s="4">
        <v>579.52625</v>
      </c>
      <c r="I4" s="1">
        <v>265426.41749999998</v>
      </c>
    </row>
    <row r="6" spans="1:9" x14ac:dyDescent="0.35">
      <c r="A6" s="7" t="s">
        <v>11</v>
      </c>
      <c r="B6" s="7"/>
      <c r="C6" s="7"/>
      <c r="D6" s="7"/>
    </row>
    <row r="7" spans="1:9" x14ac:dyDescent="0.35">
      <c r="A7" s="2" t="s">
        <v>4</v>
      </c>
      <c r="B7" t="s">
        <v>2</v>
      </c>
      <c r="D7" t="s">
        <v>10</v>
      </c>
    </row>
    <row r="8" spans="1:9" x14ac:dyDescent="0.35">
      <c r="A8" s="3" t="s">
        <v>5</v>
      </c>
      <c r="B8" s="9">
        <v>190</v>
      </c>
      <c r="D8" s="9">
        <v>195</v>
      </c>
    </row>
    <row r="9" spans="1:9" x14ac:dyDescent="0.35">
      <c r="A9" s="3" t="s">
        <v>6</v>
      </c>
      <c r="B9" s="9">
        <v>143</v>
      </c>
    </row>
    <row r="10" spans="1:9" x14ac:dyDescent="0.35">
      <c r="A10" s="3" t="s">
        <v>7</v>
      </c>
      <c r="B10" s="9">
        <v>81</v>
      </c>
    </row>
    <row r="11" spans="1:9" x14ac:dyDescent="0.35">
      <c r="A11" s="3" t="s">
        <v>8</v>
      </c>
      <c r="B11" s="9">
        <v>235</v>
      </c>
    </row>
    <row r="14" spans="1:9" x14ac:dyDescent="0.35">
      <c r="A14" s="7" t="s">
        <v>12</v>
      </c>
      <c r="B14" s="7"/>
      <c r="C14" s="7"/>
      <c r="D14" s="7"/>
    </row>
    <row r="15" spans="1:9" x14ac:dyDescent="0.35">
      <c r="A15" t="s">
        <v>1</v>
      </c>
      <c r="B15" t="s">
        <v>3</v>
      </c>
    </row>
    <row r="16" spans="1:9" x14ac:dyDescent="0.35">
      <c r="A16" s="1">
        <v>212341134</v>
      </c>
      <c r="B16" s="1">
        <v>3677399</v>
      </c>
    </row>
    <row r="19" spans="1:7" x14ac:dyDescent="0.35">
      <c r="A19" s="7" t="s">
        <v>16</v>
      </c>
      <c r="B19" s="7"/>
      <c r="C19" s="7"/>
      <c r="D19" s="7"/>
      <c r="E19" s="7"/>
      <c r="F19" s="7"/>
      <c r="G19" s="7"/>
    </row>
    <row r="20" spans="1:7" x14ac:dyDescent="0.35">
      <c r="A20" t="s">
        <v>13</v>
      </c>
      <c r="C20" s="2" t="s">
        <v>4</v>
      </c>
      <c r="D20" t="s">
        <v>13</v>
      </c>
    </row>
    <row r="21" spans="1:7" x14ac:dyDescent="0.35">
      <c r="A21" s="4">
        <v>579.52625</v>
      </c>
      <c r="C21" s="3" t="s">
        <v>14</v>
      </c>
      <c r="D21" s="4">
        <v>580.50877192982455</v>
      </c>
    </row>
    <row r="22" spans="1:7" x14ac:dyDescent="0.35">
      <c r="C22" s="3" t="s">
        <v>15</v>
      </c>
      <c r="D22" s="4">
        <v>591.8115942028985</v>
      </c>
    </row>
    <row r="25" spans="1:7" x14ac:dyDescent="0.35">
      <c r="A25" s="7" t="s">
        <v>25</v>
      </c>
      <c r="B25" s="7"/>
      <c r="C25" s="7"/>
      <c r="D25" s="7"/>
      <c r="E25" s="7"/>
      <c r="F25" s="7"/>
    </row>
    <row r="26" spans="1:7" x14ac:dyDescent="0.35">
      <c r="A26" s="2" t="s">
        <v>4</v>
      </c>
      <c r="B26" t="s">
        <v>1</v>
      </c>
      <c r="C26" t="s">
        <v>17</v>
      </c>
      <c r="E26" s="2" t="s">
        <v>4</v>
      </c>
      <c r="F26" t="s">
        <v>1</v>
      </c>
      <c r="G26" t="s">
        <v>17</v>
      </c>
    </row>
    <row r="27" spans="1:7" x14ac:dyDescent="0.35">
      <c r="A27" s="3" t="s">
        <v>18</v>
      </c>
      <c r="B27" s="6">
        <v>65643462</v>
      </c>
      <c r="C27" s="6">
        <v>259460.32411067194</v>
      </c>
      <c r="E27" s="3" t="s">
        <v>21</v>
      </c>
      <c r="F27" s="6">
        <v>46353718</v>
      </c>
      <c r="G27" s="6">
        <v>264878.38857142854</v>
      </c>
    </row>
    <row r="28" spans="1:7" x14ac:dyDescent="0.35">
      <c r="A28" s="3" t="s">
        <v>19</v>
      </c>
      <c r="B28" s="6">
        <v>20358411</v>
      </c>
      <c r="C28" s="6">
        <v>275113.66216216219</v>
      </c>
      <c r="E28" s="3" t="s">
        <v>22</v>
      </c>
      <c r="F28" s="6">
        <v>59202044</v>
      </c>
      <c r="G28" s="6">
        <v>247707.29707112969</v>
      </c>
    </row>
    <row r="29" spans="1:7" x14ac:dyDescent="0.35">
      <c r="A29" s="3" t="s">
        <v>20</v>
      </c>
      <c r="B29" s="6">
        <v>126339261</v>
      </c>
      <c r="C29" s="6">
        <v>267102.03171247354</v>
      </c>
      <c r="E29" s="3" t="s">
        <v>23</v>
      </c>
      <c r="F29" s="6">
        <v>39363617</v>
      </c>
      <c r="G29" s="6">
        <v>267779.7074829932</v>
      </c>
    </row>
    <row r="30" spans="1:7" x14ac:dyDescent="0.35">
      <c r="E30" s="3" t="s">
        <v>24</v>
      </c>
      <c r="F30" s="6">
        <v>67421755</v>
      </c>
      <c r="G30" s="6">
        <v>282099.39330543933</v>
      </c>
    </row>
    <row r="32" spans="1:7" x14ac:dyDescent="0.35">
      <c r="A32" s="10" t="s">
        <v>37</v>
      </c>
    </row>
    <row r="33" spans="1:8" x14ac:dyDescent="0.35">
      <c r="A33" s="2" t="s">
        <v>4</v>
      </c>
      <c r="B33" t="s">
        <v>1</v>
      </c>
    </row>
    <row r="34" spans="1:8" x14ac:dyDescent="0.35">
      <c r="A34" s="3" t="s">
        <v>26</v>
      </c>
      <c r="B34" s="1">
        <v>8601132</v>
      </c>
      <c r="D34" s="7" t="s">
        <v>51</v>
      </c>
      <c r="E34" s="7"/>
      <c r="G34" s="11" t="s">
        <v>50</v>
      </c>
    </row>
    <row r="35" spans="1:8" x14ac:dyDescent="0.35">
      <c r="A35" s="3" t="s">
        <v>27</v>
      </c>
      <c r="B35" s="1">
        <v>19620986</v>
      </c>
      <c r="D35" s="2" t="s">
        <v>4</v>
      </c>
      <c r="E35" t="s">
        <v>1</v>
      </c>
      <c r="G35" s="2" t="s">
        <v>4</v>
      </c>
      <c r="H35" t="s">
        <v>1</v>
      </c>
    </row>
    <row r="36" spans="1:8" x14ac:dyDescent="0.35">
      <c r="A36" s="3" t="s">
        <v>28</v>
      </c>
      <c r="B36" s="1">
        <v>17464395</v>
      </c>
      <c r="D36" s="3" t="s">
        <v>39</v>
      </c>
      <c r="E36" s="1">
        <v>1738619</v>
      </c>
      <c r="G36" s="3" t="s">
        <v>43</v>
      </c>
      <c r="H36" s="1">
        <v>26605667</v>
      </c>
    </row>
    <row r="37" spans="1:8" x14ac:dyDescent="0.35">
      <c r="A37" s="3" t="s">
        <v>29</v>
      </c>
      <c r="B37" s="1">
        <v>23479359</v>
      </c>
      <c r="D37" s="3" t="s">
        <v>38</v>
      </c>
      <c r="E37" s="1">
        <v>1743749</v>
      </c>
      <c r="G37" s="3" t="s">
        <v>44</v>
      </c>
      <c r="H37" s="1">
        <v>31338780</v>
      </c>
    </row>
    <row r="38" spans="1:8" x14ac:dyDescent="0.35">
      <c r="A38" s="3" t="s">
        <v>30</v>
      </c>
      <c r="B38" s="1">
        <v>20215012</v>
      </c>
      <c r="D38" s="3" t="s">
        <v>40</v>
      </c>
      <c r="E38" s="1">
        <v>1816183</v>
      </c>
      <c r="G38" s="3" t="s">
        <v>45</v>
      </c>
      <c r="H38" s="1">
        <v>33964875</v>
      </c>
    </row>
    <row r="39" spans="1:8" x14ac:dyDescent="0.35">
      <c r="A39" s="3" t="s">
        <v>31</v>
      </c>
      <c r="B39" s="1">
        <v>23565000</v>
      </c>
      <c r="D39" s="3" t="s">
        <v>41</v>
      </c>
      <c r="E39" s="1">
        <v>1848827</v>
      </c>
      <c r="G39" s="3" t="s">
        <v>46</v>
      </c>
      <c r="H39" s="1">
        <v>31359468</v>
      </c>
    </row>
    <row r="40" spans="1:8" x14ac:dyDescent="0.35">
      <c r="A40" s="3" t="s">
        <v>32</v>
      </c>
      <c r="B40" s="1">
        <v>17705709</v>
      </c>
      <c r="D40" s="3" t="s">
        <v>42</v>
      </c>
      <c r="E40" s="1">
        <v>1929701</v>
      </c>
      <c r="G40" s="3" t="s">
        <v>47</v>
      </c>
      <c r="H40" s="1">
        <v>28579760</v>
      </c>
    </row>
    <row r="41" spans="1:8" x14ac:dyDescent="0.35">
      <c r="A41" s="3" t="s">
        <v>33</v>
      </c>
      <c r="B41" s="1">
        <v>16583875</v>
      </c>
      <c r="G41" s="3" t="s">
        <v>48</v>
      </c>
      <c r="H41" s="1">
        <v>32044598</v>
      </c>
    </row>
    <row r="42" spans="1:8" x14ac:dyDescent="0.35">
      <c r="A42" s="3" t="s">
        <v>34</v>
      </c>
      <c r="B42" s="1">
        <v>23273328</v>
      </c>
      <c r="G42" s="3" t="s">
        <v>49</v>
      </c>
      <c r="H42" s="1">
        <v>28447986</v>
      </c>
    </row>
    <row r="43" spans="1:8" x14ac:dyDescent="0.35">
      <c r="A43" s="3" t="s">
        <v>35</v>
      </c>
      <c r="B43" s="1">
        <v>26602732</v>
      </c>
    </row>
    <row r="44" spans="1:8" x14ac:dyDescent="0.35">
      <c r="A44" s="3" t="s">
        <v>36</v>
      </c>
      <c r="B44" s="1">
        <v>15229606</v>
      </c>
    </row>
  </sheetData>
  <mergeCells count="5">
    <mergeCell ref="A14:D14"/>
    <mergeCell ref="A6:D6"/>
    <mergeCell ref="A19:G19"/>
    <mergeCell ref="A25:F25"/>
    <mergeCell ref="D34:E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DC72A-6B02-487D-BBD6-762D069C4BAC}">
  <dimension ref="A1:CN463"/>
  <sheetViews>
    <sheetView showGridLines="0" topLeftCell="G4" zoomScale="64" zoomScaleNormal="70" workbookViewId="0">
      <selection sqref="A1:A1048576"/>
    </sheetView>
  </sheetViews>
  <sheetFormatPr defaultRowHeight="14.5" x14ac:dyDescent="0.35"/>
  <sheetData>
    <row r="1" spans="1:92" x14ac:dyDescent="0.35">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row>
    <row r="2" spans="1:92" x14ac:dyDescent="0.3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row>
    <row r="3" spans="1:92" x14ac:dyDescent="0.3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row>
    <row r="4" spans="1:92" x14ac:dyDescent="0.3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row>
    <row r="5" spans="1:92" x14ac:dyDescent="0.3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row>
    <row r="6" spans="1:92" x14ac:dyDescent="0.3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row>
    <row r="7" spans="1:92" x14ac:dyDescent="0.3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row>
    <row r="8" spans="1:92" x14ac:dyDescent="0.35">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row>
    <row r="9" spans="1:92" x14ac:dyDescent="0.3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row>
    <row r="10" spans="1:92" x14ac:dyDescent="0.3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row>
    <row r="11" spans="1:92" x14ac:dyDescent="0.3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row>
    <row r="12" spans="1:92"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row>
    <row r="13" spans="1:92"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row>
    <row r="14" spans="1:92" x14ac:dyDescent="0.3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row>
    <row r="15" spans="1:92"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row>
    <row r="16" spans="1:92"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row>
    <row r="17" spans="1:92"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row>
    <row r="18" spans="1:92"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row>
    <row r="19" spans="1:92"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row>
    <row r="20" spans="1:92" x14ac:dyDescent="0.3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row>
    <row r="21" spans="1:92"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row>
    <row r="22" spans="1:92" x14ac:dyDescent="0.3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row>
    <row r="23" spans="1:92"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row>
    <row r="24" spans="1:92"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row>
    <row r="25" spans="1:92"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row>
    <row r="26" spans="1:92"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row>
    <row r="27" spans="1:92"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row>
    <row r="28" spans="1:92"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row>
    <row r="29" spans="1:92"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row>
    <row r="30" spans="1:92" x14ac:dyDescent="0.3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row>
    <row r="31" spans="1:92"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row>
    <row r="32" spans="1:92"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row>
    <row r="33" spans="1:92"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row>
    <row r="34" spans="1:92"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row>
    <row r="35" spans="1:92"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row>
    <row r="36" spans="1:92" x14ac:dyDescent="0.3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row>
    <row r="37" spans="1:92" x14ac:dyDescent="0.3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row>
    <row r="38" spans="1:92"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row>
    <row r="39" spans="1:92"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row>
    <row r="40" spans="1:92" x14ac:dyDescent="0.3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row>
    <row r="41" spans="1:92" x14ac:dyDescent="0.3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row>
    <row r="42" spans="1:92"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row>
    <row r="43" spans="1:92" x14ac:dyDescent="0.3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row>
    <row r="44" spans="1:92"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row>
    <row r="45" spans="1:92"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row>
    <row r="46" spans="1:92"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row>
    <row r="47" spans="1:92" x14ac:dyDescent="0.3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row>
    <row r="48" spans="1:92" x14ac:dyDescent="0.3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row>
    <row r="49" spans="1:92" x14ac:dyDescent="0.3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row>
    <row r="50" spans="1:92"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row>
    <row r="51" spans="1:92" x14ac:dyDescent="0.3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row>
    <row r="52" spans="1:92"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row>
    <row r="53" spans="1:92"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row>
    <row r="54" spans="1:92"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row>
    <row r="55" spans="1:92"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row>
    <row r="56" spans="1:92"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row>
    <row r="57" spans="1:92"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row>
    <row r="58" spans="1:92"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row>
    <row r="59" spans="1:92"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row>
    <row r="60" spans="1:92"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row>
    <row r="61" spans="1:92"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row>
    <row r="62" spans="1:92"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row>
    <row r="63" spans="1:92"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row>
    <row r="64" spans="1:92"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row>
    <row r="65" spans="1:92"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row>
    <row r="66" spans="1:92"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row>
    <row r="67" spans="1:92"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row>
    <row r="68" spans="1:92"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row>
    <row r="69" spans="1:92"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row>
    <row r="70" spans="1:92"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row>
    <row r="71" spans="1:92"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row>
    <row r="72" spans="1:92"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row>
    <row r="73" spans="1:92"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row>
    <row r="74" spans="1:92"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row>
    <row r="75" spans="1:92"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row>
    <row r="76" spans="1:92"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row>
    <row r="77" spans="1:92"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row>
    <row r="78" spans="1:92"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row>
    <row r="79" spans="1:92"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row>
    <row r="80" spans="1:92"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row>
    <row r="81" spans="1:92"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row>
    <row r="82" spans="1:92"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row>
    <row r="83" spans="1:92"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row>
    <row r="84" spans="1:92"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row>
    <row r="85" spans="1:92"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row>
    <row r="86" spans="1:92"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row>
    <row r="87" spans="1:92"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row>
    <row r="88" spans="1:92"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row>
    <row r="89" spans="1:92"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row>
    <row r="90" spans="1:92"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row>
    <row r="91" spans="1:92"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row>
    <row r="92" spans="1:92"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row>
    <row r="93" spans="1:92"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row>
    <row r="94" spans="1:92"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row>
    <row r="95" spans="1:92"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row>
    <row r="96" spans="1:92"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row>
    <row r="97" spans="1:92"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row>
    <row r="98" spans="1:92"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row>
    <row r="99" spans="1:92"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row>
    <row r="100" spans="1:92"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row>
    <row r="101" spans="1:92" x14ac:dyDescent="0.3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row>
    <row r="102" spans="1:92" x14ac:dyDescent="0.3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row>
    <row r="103" spans="1:92" x14ac:dyDescent="0.3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row>
    <row r="104" spans="1:92" x14ac:dyDescent="0.3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row>
    <row r="105" spans="1:92" x14ac:dyDescent="0.3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row>
    <row r="106" spans="1:92" x14ac:dyDescent="0.3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row>
    <row r="107" spans="1:92" x14ac:dyDescent="0.3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row>
    <row r="108" spans="1:92" x14ac:dyDescent="0.3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row>
    <row r="109" spans="1:92" x14ac:dyDescent="0.3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row>
    <row r="110" spans="1:92" x14ac:dyDescent="0.3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row>
    <row r="111" spans="1:92" x14ac:dyDescent="0.3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row>
    <row r="112" spans="1:92" x14ac:dyDescent="0.3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row>
    <row r="113" spans="1:92" x14ac:dyDescent="0.3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row>
    <row r="114" spans="1:92" x14ac:dyDescent="0.3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row>
    <row r="115" spans="1:92" x14ac:dyDescent="0.3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row>
    <row r="116" spans="1:92" x14ac:dyDescent="0.3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row>
    <row r="117" spans="1:92" x14ac:dyDescent="0.3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row>
    <row r="118" spans="1:92" x14ac:dyDescent="0.3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row>
    <row r="119" spans="1:92" x14ac:dyDescent="0.3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row>
    <row r="120" spans="1:92" x14ac:dyDescent="0.3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row>
    <row r="121" spans="1:92" x14ac:dyDescent="0.3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row>
    <row r="122" spans="1:92" x14ac:dyDescent="0.3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row>
    <row r="123" spans="1:92" x14ac:dyDescent="0.3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row>
    <row r="124" spans="1:92" x14ac:dyDescent="0.3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row>
    <row r="125" spans="1:92" x14ac:dyDescent="0.3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row>
    <row r="126" spans="1:92" x14ac:dyDescent="0.3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row>
    <row r="127" spans="1:92" x14ac:dyDescent="0.3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row>
    <row r="128" spans="1:92" x14ac:dyDescent="0.3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row>
    <row r="129" spans="1:92" x14ac:dyDescent="0.3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row>
    <row r="130" spans="1:92" x14ac:dyDescent="0.3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row>
    <row r="131" spans="1:92" x14ac:dyDescent="0.3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row>
    <row r="132" spans="1:92" x14ac:dyDescent="0.3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row>
    <row r="133" spans="1:92" x14ac:dyDescent="0.3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row>
    <row r="134" spans="1:92" x14ac:dyDescent="0.3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row>
    <row r="135" spans="1:92" x14ac:dyDescent="0.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row>
    <row r="136" spans="1:92" x14ac:dyDescent="0.3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row>
    <row r="137" spans="1:92" x14ac:dyDescent="0.3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row>
    <row r="138" spans="1:92" x14ac:dyDescent="0.3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row>
    <row r="139" spans="1:92" x14ac:dyDescent="0.3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row>
    <row r="140" spans="1:92" x14ac:dyDescent="0.3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row>
    <row r="141" spans="1:92" x14ac:dyDescent="0.3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row>
    <row r="142" spans="1:92" x14ac:dyDescent="0.3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row>
    <row r="143" spans="1:92" x14ac:dyDescent="0.3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row>
    <row r="144" spans="1:92" x14ac:dyDescent="0.3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row>
    <row r="145" spans="1:92" x14ac:dyDescent="0.3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row>
    <row r="146" spans="1:92" x14ac:dyDescent="0.3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row>
    <row r="147" spans="1:92" x14ac:dyDescent="0.3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row>
    <row r="148" spans="1:92" x14ac:dyDescent="0.3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row>
    <row r="149" spans="1:92" x14ac:dyDescent="0.3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row>
    <row r="150" spans="1:92" x14ac:dyDescent="0.3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row>
    <row r="151" spans="1:92" x14ac:dyDescent="0.3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row>
    <row r="152" spans="1:92" x14ac:dyDescent="0.3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row>
    <row r="153" spans="1:92" x14ac:dyDescent="0.3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row>
    <row r="154" spans="1:92" x14ac:dyDescent="0.3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row>
    <row r="155" spans="1:92" x14ac:dyDescent="0.3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row>
    <row r="156" spans="1:92" x14ac:dyDescent="0.3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row>
    <row r="157" spans="1:92" x14ac:dyDescent="0.3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row>
    <row r="158" spans="1:92" x14ac:dyDescent="0.3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row>
    <row r="159" spans="1:92" x14ac:dyDescent="0.3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row>
    <row r="160" spans="1:92" x14ac:dyDescent="0.3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row>
    <row r="161" spans="1:92" x14ac:dyDescent="0.3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row>
    <row r="162" spans="1:92" x14ac:dyDescent="0.3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row>
    <row r="163" spans="1:92" x14ac:dyDescent="0.3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row>
    <row r="164" spans="1:92" x14ac:dyDescent="0.3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row>
    <row r="165" spans="1:92" x14ac:dyDescent="0.3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row>
    <row r="166" spans="1:92" x14ac:dyDescent="0.3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row>
    <row r="167" spans="1:92" x14ac:dyDescent="0.3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row>
    <row r="168" spans="1:92" x14ac:dyDescent="0.3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row>
    <row r="169" spans="1:92" x14ac:dyDescent="0.3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row>
    <row r="170" spans="1:92" x14ac:dyDescent="0.3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row>
    <row r="171" spans="1:92" x14ac:dyDescent="0.3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row>
    <row r="172" spans="1:92" x14ac:dyDescent="0.3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row>
    <row r="173" spans="1:92" x14ac:dyDescent="0.3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row>
    <row r="174" spans="1:92" x14ac:dyDescent="0.3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row>
    <row r="175" spans="1:92" x14ac:dyDescent="0.3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row>
    <row r="176" spans="1:92" x14ac:dyDescent="0.3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row>
    <row r="177" spans="1:92" x14ac:dyDescent="0.3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row>
    <row r="178" spans="1:92" x14ac:dyDescent="0.3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row>
    <row r="179" spans="1:92" x14ac:dyDescent="0.3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row>
    <row r="180" spans="1:92" x14ac:dyDescent="0.3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row>
    <row r="181" spans="1:92" x14ac:dyDescent="0.3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row>
    <row r="182" spans="1:92" x14ac:dyDescent="0.3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row>
    <row r="183" spans="1:92" x14ac:dyDescent="0.3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row>
    <row r="184" spans="1:92" x14ac:dyDescent="0.3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row>
    <row r="185" spans="1:92" x14ac:dyDescent="0.3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row>
    <row r="186" spans="1:92" x14ac:dyDescent="0.3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row>
    <row r="187" spans="1:92" x14ac:dyDescent="0.3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row>
    <row r="188" spans="1:92" x14ac:dyDescent="0.3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row>
    <row r="189" spans="1:92" x14ac:dyDescent="0.3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row>
    <row r="190" spans="1:92" x14ac:dyDescent="0.3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row>
    <row r="191" spans="1:92" x14ac:dyDescent="0.3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row>
    <row r="192" spans="1:92" x14ac:dyDescent="0.3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row>
    <row r="193" spans="1:92" x14ac:dyDescent="0.3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row>
    <row r="194" spans="1:92" x14ac:dyDescent="0.3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row>
    <row r="195" spans="1:92" x14ac:dyDescent="0.3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row>
    <row r="196" spans="1:92" x14ac:dyDescent="0.3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row>
    <row r="197" spans="1:92" x14ac:dyDescent="0.3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row>
    <row r="198" spans="1:92" x14ac:dyDescent="0.3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row>
    <row r="199" spans="1:92" x14ac:dyDescent="0.3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row>
    <row r="200" spans="1:92" x14ac:dyDescent="0.3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row>
    <row r="201" spans="1:92" x14ac:dyDescent="0.3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row>
    <row r="202" spans="1:92" x14ac:dyDescent="0.3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row>
    <row r="203" spans="1:92" x14ac:dyDescent="0.3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row>
    <row r="204" spans="1:92" x14ac:dyDescent="0.3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row>
    <row r="205" spans="1:92" x14ac:dyDescent="0.3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row>
    <row r="206" spans="1:92" x14ac:dyDescent="0.3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row>
    <row r="207" spans="1:92" x14ac:dyDescent="0.3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row>
    <row r="208" spans="1:92" x14ac:dyDescent="0.3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row>
    <row r="209" spans="1:92" x14ac:dyDescent="0.3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row>
    <row r="210" spans="1:92" x14ac:dyDescent="0.3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row>
    <row r="211" spans="1:92" x14ac:dyDescent="0.3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row>
    <row r="212" spans="1:92" x14ac:dyDescent="0.3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row>
    <row r="213" spans="1:92" x14ac:dyDescent="0.3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row>
    <row r="214" spans="1:92" x14ac:dyDescent="0.3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row>
    <row r="215" spans="1:92" x14ac:dyDescent="0.3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row>
    <row r="216" spans="1:92" x14ac:dyDescent="0.3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row>
    <row r="217" spans="1:92" x14ac:dyDescent="0.3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row>
    <row r="218" spans="1:92" x14ac:dyDescent="0.3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row>
    <row r="219" spans="1:92" x14ac:dyDescent="0.3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row>
    <row r="220" spans="1:92" x14ac:dyDescent="0.3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row>
    <row r="221" spans="1:92" x14ac:dyDescent="0.3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row>
    <row r="222" spans="1:92" x14ac:dyDescent="0.3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row>
    <row r="223" spans="1:92" x14ac:dyDescent="0.3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row>
    <row r="224" spans="1:92" x14ac:dyDescent="0.3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row>
    <row r="225" spans="1:92" x14ac:dyDescent="0.3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row>
    <row r="226" spans="1:92" x14ac:dyDescent="0.3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row>
    <row r="227" spans="1:92" x14ac:dyDescent="0.3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row>
    <row r="228" spans="1:92" x14ac:dyDescent="0.3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row>
    <row r="229" spans="1:92" x14ac:dyDescent="0.3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row>
    <row r="230" spans="1:92" x14ac:dyDescent="0.3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row>
    <row r="231" spans="1:92" x14ac:dyDescent="0.3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row>
    <row r="232" spans="1:92" x14ac:dyDescent="0.3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row>
    <row r="233" spans="1:92" x14ac:dyDescent="0.3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row>
    <row r="234" spans="1:92" x14ac:dyDescent="0.3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row>
    <row r="235" spans="1:92" x14ac:dyDescent="0.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row>
    <row r="236" spans="1:92" x14ac:dyDescent="0.3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row>
    <row r="237" spans="1:92" x14ac:dyDescent="0.3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row>
    <row r="238" spans="1:92" x14ac:dyDescent="0.3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row>
    <row r="239" spans="1:92" x14ac:dyDescent="0.3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row>
    <row r="240" spans="1:92" x14ac:dyDescent="0.3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row>
    <row r="241" spans="1:92" x14ac:dyDescent="0.3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row>
    <row r="242" spans="1:92" x14ac:dyDescent="0.3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row>
    <row r="243" spans="1:92" x14ac:dyDescent="0.3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row>
    <row r="244" spans="1:92" x14ac:dyDescent="0.3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row>
    <row r="245" spans="1:92" x14ac:dyDescent="0.3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row>
    <row r="246" spans="1:92" x14ac:dyDescent="0.3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row>
    <row r="247" spans="1:92" x14ac:dyDescent="0.3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row>
    <row r="248" spans="1:92" x14ac:dyDescent="0.3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row>
    <row r="249" spans="1:92" x14ac:dyDescent="0.3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row>
    <row r="250" spans="1:92" x14ac:dyDescent="0.3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row>
    <row r="251" spans="1:92" x14ac:dyDescent="0.3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row>
    <row r="252" spans="1:92" x14ac:dyDescent="0.3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row>
    <row r="253" spans="1:92" x14ac:dyDescent="0.3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row>
    <row r="254" spans="1:92" x14ac:dyDescent="0.3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row>
    <row r="255" spans="1:92" x14ac:dyDescent="0.3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row>
    <row r="256" spans="1:92" x14ac:dyDescent="0.3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row>
    <row r="257" spans="1:92" x14ac:dyDescent="0.3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row>
    <row r="258" spans="1:92" x14ac:dyDescent="0.3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row>
    <row r="259" spans="1:92" x14ac:dyDescent="0.3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row>
    <row r="260" spans="1:92" x14ac:dyDescent="0.3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row>
    <row r="261" spans="1:92" x14ac:dyDescent="0.3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row>
    <row r="262" spans="1:92" x14ac:dyDescent="0.3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row>
    <row r="263" spans="1:92" x14ac:dyDescent="0.3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row>
    <row r="264" spans="1:92" x14ac:dyDescent="0.3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row>
    <row r="265" spans="1:92" x14ac:dyDescent="0.3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row>
    <row r="266" spans="1:92" x14ac:dyDescent="0.3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row>
    <row r="267" spans="1:92" x14ac:dyDescent="0.3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row>
    <row r="268" spans="1:92" x14ac:dyDescent="0.3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row>
    <row r="269" spans="1:92" x14ac:dyDescent="0.3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row>
    <row r="270" spans="1:92" x14ac:dyDescent="0.3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row>
    <row r="271" spans="1:92" x14ac:dyDescent="0.3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row>
    <row r="272" spans="1:92" x14ac:dyDescent="0.3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row>
    <row r="273" spans="1:92" x14ac:dyDescent="0.3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row>
    <row r="274" spans="1:92" x14ac:dyDescent="0.3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row>
    <row r="275" spans="1:92" x14ac:dyDescent="0.3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row>
    <row r="276" spans="1:92" x14ac:dyDescent="0.3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row>
    <row r="277" spans="1:92" x14ac:dyDescent="0.3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row>
    <row r="278" spans="1:92" x14ac:dyDescent="0.3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row>
    <row r="279" spans="1:92" x14ac:dyDescent="0.3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row>
    <row r="280" spans="1:92" x14ac:dyDescent="0.3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row>
    <row r="281" spans="1:92" x14ac:dyDescent="0.3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row>
    <row r="282" spans="1:92" x14ac:dyDescent="0.3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row>
    <row r="283" spans="1:92" x14ac:dyDescent="0.3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row>
    <row r="284" spans="1:92" x14ac:dyDescent="0.3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row>
    <row r="285" spans="1:92" x14ac:dyDescent="0.3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row>
    <row r="286" spans="1:92" x14ac:dyDescent="0.3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row>
    <row r="287" spans="1:92" x14ac:dyDescent="0.3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row>
    <row r="288" spans="1:92" x14ac:dyDescent="0.3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row>
    <row r="289" spans="1:92" x14ac:dyDescent="0.3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row>
    <row r="290" spans="1:92" x14ac:dyDescent="0.3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row>
    <row r="291" spans="1:92" x14ac:dyDescent="0.3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row>
    <row r="292" spans="1:92" x14ac:dyDescent="0.3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row>
    <row r="293" spans="1:92" x14ac:dyDescent="0.3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row>
    <row r="294" spans="1:92" x14ac:dyDescent="0.3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row>
    <row r="295" spans="1:92" x14ac:dyDescent="0.3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row>
    <row r="296" spans="1:92" x14ac:dyDescent="0.3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row>
    <row r="297" spans="1:92" x14ac:dyDescent="0.3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row>
    <row r="298" spans="1:92" x14ac:dyDescent="0.3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row>
    <row r="299" spans="1:92" x14ac:dyDescent="0.3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row>
    <row r="300" spans="1:92" x14ac:dyDescent="0.3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row>
    <row r="301" spans="1:92" x14ac:dyDescent="0.3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row>
    <row r="302" spans="1:92" x14ac:dyDescent="0.3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row>
    <row r="303" spans="1:92" x14ac:dyDescent="0.3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row>
    <row r="304" spans="1:92" x14ac:dyDescent="0.3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row>
    <row r="305" spans="1:92" x14ac:dyDescent="0.3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row>
    <row r="306" spans="1:92" x14ac:dyDescent="0.3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row>
    <row r="307" spans="1:92" x14ac:dyDescent="0.3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row>
    <row r="308" spans="1:92" x14ac:dyDescent="0.3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row>
    <row r="309" spans="1:92" x14ac:dyDescent="0.3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row>
    <row r="310" spans="1:92" x14ac:dyDescent="0.3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row>
    <row r="311" spans="1:92" x14ac:dyDescent="0.3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row>
    <row r="312" spans="1:92" x14ac:dyDescent="0.3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row>
    <row r="313" spans="1:92" x14ac:dyDescent="0.3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row>
    <row r="314" spans="1:92" x14ac:dyDescent="0.3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row>
    <row r="315" spans="1:92" x14ac:dyDescent="0.3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row>
    <row r="316" spans="1:92" x14ac:dyDescent="0.3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row>
    <row r="317" spans="1:92" x14ac:dyDescent="0.3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row>
    <row r="318" spans="1:92" x14ac:dyDescent="0.3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row>
    <row r="319" spans="1:92" x14ac:dyDescent="0.3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row>
    <row r="320" spans="1:92" x14ac:dyDescent="0.3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row>
    <row r="321" spans="1:92" x14ac:dyDescent="0.3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row>
    <row r="322" spans="1:92" x14ac:dyDescent="0.3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row>
    <row r="323" spans="1:92" x14ac:dyDescent="0.3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row>
    <row r="324" spans="1:92" x14ac:dyDescent="0.3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row>
    <row r="325" spans="1:92" x14ac:dyDescent="0.3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row>
    <row r="326" spans="1:92" x14ac:dyDescent="0.3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row>
    <row r="327" spans="1:92" x14ac:dyDescent="0.3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row>
    <row r="328" spans="1:92" x14ac:dyDescent="0.3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row>
    <row r="329" spans="1:92" x14ac:dyDescent="0.3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row>
    <row r="330" spans="1:92" x14ac:dyDescent="0.3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row>
    <row r="331" spans="1:92" x14ac:dyDescent="0.3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row>
    <row r="332" spans="1:92" x14ac:dyDescent="0.3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row>
    <row r="333" spans="1:92" x14ac:dyDescent="0.3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row>
    <row r="334" spans="1:92" x14ac:dyDescent="0.3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row>
    <row r="335" spans="1:92" x14ac:dyDescent="0.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row>
    <row r="336" spans="1:92" x14ac:dyDescent="0.3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row>
    <row r="337" spans="1:92" x14ac:dyDescent="0.3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row>
    <row r="338" spans="1:92" x14ac:dyDescent="0.3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row>
    <row r="339" spans="1:92" x14ac:dyDescent="0.3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row>
    <row r="340" spans="1:92" x14ac:dyDescent="0.3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row>
    <row r="341" spans="1:92" x14ac:dyDescent="0.3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row>
    <row r="342" spans="1:92" x14ac:dyDescent="0.3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row>
    <row r="343" spans="1:92" x14ac:dyDescent="0.3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row>
    <row r="344" spans="1:92" x14ac:dyDescent="0.3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row>
    <row r="345" spans="1:92" x14ac:dyDescent="0.3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row>
    <row r="346" spans="1:92" x14ac:dyDescent="0.3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row>
    <row r="347" spans="1:92" x14ac:dyDescent="0.3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row>
    <row r="348" spans="1:92" x14ac:dyDescent="0.3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row>
    <row r="349" spans="1:92" x14ac:dyDescent="0.3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row>
    <row r="350" spans="1:92" x14ac:dyDescent="0.3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row>
    <row r="351" spans="1:92" x14ac:dyDescent="0.3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row>
    <row r="352" spans="1:92" x14ac:dyDescent="0.3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row>
    <row r="353" spans="1:92" x14ac:dyDescent="0.3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row>
    <row r="354" spans="1:92" x14ac:dyDescent="0.3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row>
    <row r="355" spans="1:92" x14ac:dyDescent="0.3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row>
    <row r="356" spans="1:92" x14ac:dyDescent="0.3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row>
    <row r="357" spans="1:92" x14ac:dyDescent="0.3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row>
    <row r="358" spans="1:92" x14ac:dyDescent="0.3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row>
    <row r="359" spans="1:92" x14ac:dyDescent="0.3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row>
    <row r="360" spans="1:92" x14ac:dyDescent="0.3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row>
    <row r="361" spans="1:92" x14ac:dyDescent="0.3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row>
    <row r="362" spans="1:92" x14ac:dyDescent="0.3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row>
    <row r="363" spans="1:92" x14ac:dyDescent="0.3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row>
    <row r="364" spans="1:92" x14ac:dyDescent="0.3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row>
    <row r="365" spans="1:92" x14ac:dyDescent="0.3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row>
    <row r="366" spans="1:92" x14ac:dyDescent="0.3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row>
    <row r="367" spans="1:92" x14ac:dyDescent="0.3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row>
    <row r="368" spans="1:92" x14ac:dyDescent="0.3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row>
    <row r="369" spans="1:92" x14ac:dyDescent="0.3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row>
    <row r="370" spans="1:92" x14ac:dyDescent="0.3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row>
    <row r="371" spans="1:92" x14ac:dyDescent="0.3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row>
    <row r="372" spans="1:92" x14ac:dyDescent="0.3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row>
    <row r="373" spans="1:92" x14ac:dyDescent="0.3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row>
    <row r="374" spans="1:92" x14ac:dyDescent="0.3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row>
    <row r="375" spans="1:92" x14ac:dyDescent="0.3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row>
    <row r="376" spans="1:92" x14ac:dyDescent="0.3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row>
    <row r="377" spans="1:92" x14ac:dyDescent="0.3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row>
    <row r="378" spans="1:92" x14ac:dyDescent="0.3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row>
    <row r="379" spans="1:92" x14ac:dyDescent="0.3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row>
    <row r="380" spans="1:92" x14ac:dyDescent="0.3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row>
    <row r="381" spans="1:92" x14ac:dyDescent="0.3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row>
    <row r="382" spans="1:92" x14ac:dyDescent="0.3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row>
    <row r="383" spans="1:92" x14ac:dyDescent="0.3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row>
    <row r="384" spans="1:92" x14ac:dyDescent="0.3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row>
    <row r="385" spans="1:92" x14ac:dyDescent="0.3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row>
    <row r="386" spans="1:92" x14ac:dyDescent="0.3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row>
    <row r="387" spans="1:92" x14ac:dyDescent="0.3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row>
    <row r="388" spans="1:92" x14ac:dyDescent="0.3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row>
    <row r="389" spans="1:92" x14ac:dyDescent="0.3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row>
    <row r="390" spans="1:92" x14ac:dyDescent="0.3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row>
    <row r="391" spans="1:92" x14ac:dyDescent="0.3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row>
    <row r="392" spans="1:92" x14ac:dyDescent="0.3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row>
    <row r="393" spans="1:92" x14ac:dyDescent="0.3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row>
    <row r="394" spans="1:92" x14ac:dyDescent="0.3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row>
    <row r="395" spans="1:92" x14ac:dyDescent="0.3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row>
    <row r="396" spans="1:92" x14ac:dyDescent="0.3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row>
    <row r="397" spans="1:92" x14ac:dyDescent="0.3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row>
    <row r="398" spans="1:92" x14ac:dyDescent="0.3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row>
    <row r="399" spans="1:92" x14ac:dyDescent="0.3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row>
    <row r="400" spans="1:92" x14ac:dyDescent="0.3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row>
    <row r="401" spans="1:92" x14ac:dyDescent="0.3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row>
    <row r="402" spans="1:92" x14ac:dyDescent="0.3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row>
    <row r="403" spans="1:92" x14ac:dyDescent="0.3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row>
    <row r="404" spans="1:92" x14ac:dyDescent="0.3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row>
    <row r="405" spans="1:92" x14ac:dyDescent="0.3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row>
    <row r="406" spans="1:92" x14ac:dyDescent="0.3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row>
    <row r="407" spans="1:92" x14ac:dyDescent="0.3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row>
    <row r="408" spans="1:92" x14ac:dyDescent="0.3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row>
    <row r="409" spans="1:92" x14ac:dyDescent="0.3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row>
    <row r="410" spans="1:92" x14ac:dyDescent="0.3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row>
    <row r="411" spans="1:92" x14ac:dyDescent="0.3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row>
    <row r="412" spans="1:92" x14ac:dyDescent="0.3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row>
    <row r="413" spans="1:92" x14ac:dyDescent="0.3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row>
    <row r="414" spans="1:92" x14ac:dyDescent="0.3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row>
    <row r="415" spans="1:92" x14ac:dyDescent="0.3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row>
    <row r="416" spans="1:92" x14ac:dyDescent="0.3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row>
    <row r="417" spans="1:92" x14ac:dyDescent="0.3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row>
    <row r="418" spans="1:92" x14ac:dyDescent="0.3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row>
    <row r="419" spans="1:92" x14ac:dyDescent="0.3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row>
    <row r="420" spans="1:92" x14ac:dyDescent="0.3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row>
    <row r="421" spans="1:92" x14ac:dyDescent="0.3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row>
    <row r="422" spans="1:92" x14ac:dyDescent="0.3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row>
    <row r="423" spans="1:92" x14ac:dyDescent="0.3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row>
    <row r="424" spans="1:92" x14ac:dyDescent="0.3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row>
    <row r="425" spans="1:92" x14ac:dyDescent="0.3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row>
    <row r="426" spans="1:92" x14ac:dyDescent="0.3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row>
    <row r="427" spans="1:92" x14ac:dyDescent="0.3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row>
    <row r="428" spans="1:92" x14ac:dyDescent="0.3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row>
    <row r="429" spans="1:92" x14ac:dyDescent="0.3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row>
    <row r="430" spans="1:92" x14ac:dyDescent="0.3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row>
    <row r="431" spans="1:92" x14ac:dyDescent="0.3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row>
    <row r="432" spans="1:92" x14ac:dyDescent="0.3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row>
    <row r="433" spans="1:92" x14ac:dyDescent="0.3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row>
    <row r="434" spans="1:92" x14ac:dyDescent="0.3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row>
    <row r="435" spans="1:92" x14ac:dyDescent="0.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row>
    <row r="436" spans="1:92" x14ac:dyDescent="0.3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row>
    <row r="437" spans="1:92" x14ac:dyDescent="0.3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row>
    <row r="438" spans="1:92" x14ac:dyDescent="0.3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row>
    <row r="439" spans="1:92" x14ac:dyDescent="0.3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row>
    <row r="440" spans="1:92" x14ac:dyDescent="0.3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row>
    <row r="441" spans="1:92" x14ac:dyDescent="0.3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row>
    <row r="442" spans="1:92" x14ac:dyDescent="0.3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row>
    <row r="443" spans="1:92" x14ac:dyDescent="0.3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row>
    <row r="444" spans="1:92" x14ac:dyDescent="0.3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row>
    <row r="445" spans="1:92" x14ac:dyDescent="0.3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row>
    <row r="446" spans="1:92" x14ac:dyDescent="0.3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row>
    <row r="447" spans="1:92" x14ac:dyDescent="0.3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row>
    <row r="448" spans="1:92" x14ac:dyDescent="0.3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row>
    <row r="449" spans="1:92" x14ac:dyDescent="0.3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row>
    <row r="450" spans="1:92" x14ac:dyDescent="0.3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row>
    <row r="451" spans="1:92" x14ac:dyDescent="0.3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row>
    <row r="452" spans="1:92" x14ac:dyDescent="0.3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row>
    <row r="453" spans="1:92" x14ac:dyDescent="0.3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row>
    <row r="454" spans="1:92" x14ac:dyDescent="0.3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row>
    <row r="455" spans="1:92" x14ac:dyDescent="0.3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row>
    <row r="456" spans="1:92" x14ac:dyDescent="0.3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row>
    <row r="457" spans="1:92" x14ac:dyDescent="0.3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row>
    <row r="458" spans="1:92" x14ac:dyDescent="0.3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row>
    <row r="459" spans="1:92" x14ac:dyDescent="0.3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row>
    <row r="460" spans="1:92" x14ac:dyDescent="0.3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row>
    <row r="461" spans="1:92" x14ac:dyDescent="0.3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row>
    <row r="462" spans="1:92" x14ac:dyDescent="0.3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row>
    <row r="463" spans="1:92" x14ac:dyDescent="0.3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0211E-15C4-4AFC-B569-9403B2E2C597}">
  <dimension ref="A1"/>
  <sheetViews>
    <sheetView showGridLines="0" tabSelected="1" topLeftCell="A23" zoomScale="111" zoomScaleNormal="80" workbookViewId="0">
      <selection activeCell="E16" sqref="E16"/>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DCC04909-A37A-4633-B7B8-E46A999507D4}">
  <ds:schemaRefs/>
</ds:datastoreItem>
</file>

<file path=customXml/itemProps2.xml><?xml version="1.0" encoding="utf-8"?>
<ds:datastoreItem xmlns:ds="http://schemas.openxmlformats.org/officeDocument/2006/customXml" ds:itemID="{729C5FB0-BBFA-4748-86F3-F1AEC582BF65}">
  <ds:schemaRefs/>
</ds:datastoreItem>
</file>

<file path=customXml/itemProps3.xml><?xml version="1.0" encoding="utf-8"?>
<ds:datastoreItem xmlns:ds="http://schemas.openxmlformats.org/officeDocument/2006/customXml" ds:itemID="{1668A23B-E9F9-43C7-BDBE-265DF0125950}">
  <ds:schemaRefs/>
</ds:datastoreItem>
</file>

<file path=customXml/itemProps4.xml><?xml version="1.0" encoding="utf-8"?>
<ds:datastoreItem xmlns:ds="http://schemas.openxmlformats.org/officeDocument/2006/customXml" ds:itemID="{8B4C2C75-65A2-4E7A-B5A9-4A56F69EE839}">
  <ds:schemaRefs/>
</ds:datastoreItem>
</file>

<file path=customXml/itemProps5.xml><?xml version="1.0" encoding="utf-8"?>
<ds:datastoreItem xmlns:ds="http://schemas.openxmlformats.org/officeDocument/2006/customXml" ds:itemID="{03B5202C-9453-41DE-BFF9-E3C1ACDBD445}">
  <ds:schemaRefs/>
</ds:datastoreItem>
</file>

<file path=customXml/itemProps6.xml><?xml version="1.0" encoding="utf-8"?>
<ds:datastoreItem xmlns:ds="http://schemas.openxmlformats.org/officeDocument/2006/customXml" ds:itemID="{6F57CE8A-B728-4327-ACA6-38F5CA0FC6C0}">
  <ds:schemaRefs/>
</ds:datastoreItem>
</file>

<file path=customXml/itemProps7.xml><?xml version="1.0" encoding="utf-8"?>
<ds:datastoreItem xmlns:ds="http://schemas.openxmlformats.org/officeDocument/2006/customXml" ds:itemID="{71980696-E178-4496-A04F-195D1866A4F4}">
  <ds:schemaRefs/>
</ds:datastoreItem>
</file>

<file path=customXml/itemProps8.xml><?xml version="1.0" encoding="utf-8"?>
<ds:datastoreItem xmlns:ds="http://schemas.openxmlformats.org/officeDocument/2006/customXml" ds:itemID="{242D340D-AFF5-45AE-9F71-E44879779AA4}">
  <ds:schemaRefs/>
</ds:datastoreItem>
</file>

<file path=customXml/itemProps9.xml><?xml version="1.0" encoding="utf-8"?>
<ds:datastoreItem xmlns:ds="http://schemas.openxmlformats.org/officeDocument/2006/customXml" ds:itemID="{86598C28-5392-4F9B-BFE7-3FDAA712465C}">
  <ds:schemaRefs/>
</ds:datastoreItem>
</file>

<file path=customXml/itemProps10.xml><?xml version="1.0" encoding="utf-8"?>
<ds:datastoreItem xmlns:ds="http://schemas.openxmlformats.org/officeDocument/2006/customXml" ds:itemID="{E1071FE5-DEF6-4016-8D79-18045E5580A7}">
  <ds:schemaRefs/>
</ds:datastoreItem>
</file>

<file path=customXml/itemProps11.xml><?xml version="1.0" encoding="utf-8"?>
<ds:datastoreItem xmlns:ds="http://schemas.openxmlformats.org/officeDocument/2006/customXml" ds:itemID="{20887641-0222-4C84-8685-4390EEB0A78F}">
  <ds:schemaRefs/>
</ds:datastoreItem>
</file>

<file path=customXml/itemProps12.xml><?xml version="1.0" encoding="utf-8"?>
<ds:datastoreItem xmlns:ds="http://schemas.openxmlformats.org/officeDocument/2006/customXml" ds:itemID="{1BB8AC53-F7D0-47D1-8C6F-EED543A69805}">
  <ds:schemaRefs/>
</ds:datastoreItem>
</file>

<file path=customXml/itemProps13.xml><?xml version="1.0" encoding="utf-8"?>
<ds:datastoreItem xmlns:ds="http://schemas.openxmlformats.org/officeDocument/2006/customXml" ds:itemID="{83B342D3-D73C-4966-B70F-B02E3F26AD80}">
  <ds:schemaRefs/>
</ds:datastoreItem>
</file>

<file path=customXml/itemProps14.xml><?xml version="1.0" encoding="utf-8"?>
<ds:datastoreItem xmlns:ds="http://schemas.openxmlformats.org/officeDocument/2006/customXml" ds:itemID="{A5C3814F-C62C-48B5-9825-7B354C1A86E8}">
  <ds:schemaRefs/>
</ds:datastoreItem>
</file>

<file path=customXml/itemProps15.xml><?xml version="1.0" encoding="utf-8"?>
<ds:datastoreItem xmlns:ds="http://schemas.openxmlformats.org/officeDocument/2006/customXml" ds:itemID="{9403A2AC-AB01-4B0B-98E9-1EE4D0F22789}">
  <ds:schemaRefs/>
</ds:datastoreItem>
</file>

<file path=customXml/itemProps16.xml><?xml version="1.0" encoding="utf-8"?>
<ds:datastoreItem xmlns:ds="http://schemas.openxmlformats.org/officeDocument/2006/customXml" ds:itemID="{CB2B724E-6244-4BE3-99BF-4D7E2C90DC49}">
  <ds:schemaRefs/>
</ds:datastoreItem>
</file>

<file path=customXml/itemProps17.xml><?xml version="1.0" encoding="utf-8"?>
<ds:datastoreItem xmlns:ds="http://schemas.openxmlformats.org/officeDocument/2006/customXml" ds:itemID="{0DC208A8-F8B6-47F7-9F03-BE7A0A822E48}">
  <ds:schemaRefs/>
</ds:datastoreItem>
</file>

<file path=customXml/itemProps18.xml><?xml version="1.0" encoding="utf-8"?>
<ds:datastoreItem xmlns:ds="http://schemas.openxmlformats.org/officeDocument/2006/customXml" ds:itemID="{43D98DC1-159A-4B07-BD6D-565044F6F499}">
  <ds:schemaRefs/>
</ds:datastoreItem>
</file>

<file path=customXml/itemProps19.xml><?xml version="1.0" encoding="utf-8"?>
<ds:datastoreItem xmlns:ds="http://schemas.openxmlformats.org/officeDocument/2006/customXml" ds:itemID="{90F215B9-9012-419E-9125-357CE031FF5B}">
  <ds:schemaRefs/>
</ds:datastoreItem>
</file>

<file path=customXml/itemProps20.xml><?xml version="1.0" encoding="utf-8"?>
<ds:datastoreItem xmlns:ds="http://schemas.openxmlformats.org/officeDocument/2006/customXml" ds:itemID="{3153978A-2136-43FB-9D7F-EEFF949263F5}">
  <ds:schemaRefs/>
</ds:datastoreItem>
</file>

<file path=customXml/itemProps21.xml><?xml version="1.0" encoding="utf-8"?>
<ds:datastoreItem xmlns:ds="http://schemas.openxmlformats.org/officeDocument/2006/customXml" ds:itemID="{F8959FEE-AC6C-440B-9E4C-C0470A1C4267}">
  <ds:schemaRefs/>
</ds:datastoreItem>
</file>

<file path=customXml/itemProps22.xml><?xml version="1.0" encoding="utf-8"?>
<ds:datastoreItem xmlns:ds="http://schemas.openxmlformats.org/officeDocument/2006/customXml" ds:itemID="{71550187-C25D-4975-8270-E04421508476}">
  <ds:schemaRefs/>
</ds:datastoreItem>
</file>

<file path=customXml/itemProps23.xml><?xml version="1.0" encoding="utf-8"?>
<ds:datastoreItem xmlns:ds="http://schemas.openxmlformats.org/officeDocument/2006/customXml" ds:itemID="{729026B6-02F6-4AD2-8CFD-E57B20B61CD9}">
  <ds:schemaRefs/>
</ds:datastoreItem>
</file>

<file path=customXml/itemProps24.xml><?xml version="1.0" encoding="utf-8"?>
<ds:datastoreItem xmlns:ds="http://schemas.openxmlformats.org/officeDocument/2006/customXml" ds:itemID="{98469483-EBDF-476D-B604-8B381A8EACAB}">
  <ds:schemaRefs/>
</ds:datastoreItem>
</file>

<file path=customXml/itemProps25.xml><?xml version="1.0" encoding="utf-8"?>
<ds:datastoreItem xmlns:ds="http://schemas.openxmlformats.org/officeDocument/2006/customXml" ds:itemID="{BDBE404D-AE91-4D0E-83F2-E83D3D53419F}">
  <ds:schemaRefs/>
</ds:datastoreItem>
</file>

<file path=customXml/itemProps26.xml><?xml version="1.0" encoding="utf-8"?>
<ds:datastoreItem xmlns:ds="http://schemas.openxmlformats.org/officeDocument/2006/customXml" ds:itemID="{E206BC7F-E112-44E6-B5E2-18215D851875}">
  <ds:schemaRefs/>
</ds:datastoreItem>
</file>

<file path=customXml/itemProps27.xml><?xml version="1.0" encoding="utf-8"?>
<ds:datastoreItem xmlns:ds="http://schemas.openxmlformats.org/officeDocument/2006/customXml" ds:itemID="{38B3BF30-1B2C-4167-B0CF-39FD0901A3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Calculation</vt:lpstr>
      <vt:lpstr>Dashboard</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Lawal yusuf</dc:creator>
  <cp:lastModifiedBy>Lawal yusuf</cp:lastModifiedBy>
  <dcterms:created xsi:type="dcterms:W3CDTF">2025-09-04T08:03:13Z</dcterms:created>
  <dcterms:modified xsi:type="dcterms:W3CDTF">2025-09-07T16:19:58Z</dcterms:modified>
</cp:coreProperties>
</file>